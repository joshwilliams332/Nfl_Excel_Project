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86b2041266833/Desktop/NFL/"/>
    </mc:Choice>
  </mc:AlternateContent>
  <xr:revisionPtr revIDLastSave="585" documentId="8_{E7817242-4752-428B-9DED-4152381CA3F1}" xr6:coauthVersionLast="47" xr6:coauthVersionMax="47" xr10:uidLastSave="{1B62FD9C-4F07-4D4D-B0D9-9B2C544A321D}"/>
  <bookViews>
    <workbookView xWindow="2280" yWindow="2280" windowWidth="19200" windowHeight="11170" firstSheet="2" activeTab="2" xr2:uid="{A47E4750-7460-4440-971F-29EA5E96204D}"/>
  </bookViews>
  <sheets>
    <sheet name="QB_Stats" sheetId="3" r:id="rId1"/>
    <sheet name="Sheet1" sheetId="4" r:id="rId2"/>
    <sheet name="Data" sheetId="5" r:id="rId3"/>
    <sheet name="PT1" sheetId="6" r:id="rId4"/>
    <sheet name="PT2" sheetId="7" r:id="rId5"/>
    <sheet name="PT3" sheetId="8" r:id="rId6"/>
    <sheet name="PT4" sheetId="9" r:id="rId7"/>
    <sheet name="PT5" sheetId="10" r:id="rId8"/>
    <sheet name="Charts" sheetId="11" r:id="rId9"/>
    <sheet name="Line Chart" sheetId="12" r:id="rId10"/>
    <sheet name="Travel Expenses" sheetId="13" r:id="rId11"/>
  </sheets>
  <definedNames>
    <definedName name="ExternalData_1" localSheetId="0" hidden="1">QB_Stats!$A$1:$AR$36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13" l="1"/>
  <c r="K23" i="13"/>
  <c r="O23" i="13"/>
  <c r="P19" i="13"/>
  <c r="P10" i="13"/>
  <c r="P20" i="13"/>
  <c r="P21" i="13"/>
  <c r="P5" i="13"/>
  <c r="P9" i="13"/>
  <c r="P15" i="13"/>
  <c r="P16" i="13"/>
  <c r="P22" i="13"/>
  <c r="P3" i="13"/>
  <c r="P6" i="13"/>
  <c r="P18" i="13"/>
  <c r="P8" i="13"/>
  <c r="P13" i="13"/>
  <c r="P11" i="13"/>
  <c r="P12" i="13"/>
  <c r="P17" i="13"/>
  <c r="P14" i="13"/>
  <c r="P7" i="13"/>
  <c r="P4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646EC-D95F-4AD1-AD18-236866A9FE7E}" keepAlive="1" name="Query - QB_Stats" description="Connection to the 'QB_Stats' query in the workbook." type="5" refreshedVersion="8" background="1" saveData="1">
    <dbPr connection="Provider=Microsoft.Mashup.OleDb.1;Data Source=$Workbook$;Location=QB_Stats;Extended Properties=&quot;&quot;" command="SELECT * FROM [QB_Stats]"/>
  </connection>
  <connection id="2" xr16:uid="{27F06E6B-49CF-44CD-A35C-3F958E229710}" keepAlive="1" name="Query - stats_player_week_2026" description="Connection to the 'stats_player_week_2026' query in the workbook." type="5" refreshedVersion="8" background="1" saveData="1">
    <dbPr connection="Provider=Microsoft.Mashup.OleDb.1;Data Source=$Workbook$;Location=stats_player_week_2026;Extended Properties=&quot;&quot;" command="SELECT * FROM [stats_player_week_2026]"/>
  </connection>
</connections>
</file>

<file path=xl/sharedStrings.xml><?xml version="1.0" encoding="utf-8"?>
<sst xmlns="http://schemas.openxmlformats.org/spreadsheetml/2006/main" count="601" uniqueCount="243">
  <si>
    <t>player_id</t>
  </si>
  <si>
    <t>player_name</t>
  </si>
  <si>
    <t>player_display_name</t>
  </si>
  <si>
    <t>position</t>
  </si>
  <si>
    <t>season</t>
  </si>
  <si>
    <t>week</t>
  </si>
  <si>
    <t>season_type</t>
  </si>
  <si>
    <t>game_id</t>
  </si>
  <si>
    <t>team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</si>
  <si>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</si>
  <si>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</si>
  <si>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</si>
  <si>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</si>
  <si>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</si>
  <si>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</si>
  <si>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</si>
  <si>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</si>
  <si>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</si>
  <si>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</si>
  <si>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</si>
  <si>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</si>
  <si>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</si>
  <si>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</si>
  <si>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</si>
  <si>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</si>
  <si>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pacr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</si>
  <si>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</si>
  <si>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</si>
  <si>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</si>
  <si>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</si>
  <si>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</si>
  <si>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</si>
  <si>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</si>
  <si>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</si>
  <si>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</si>
  <si>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</si>
  <si>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</si>
  <si>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</si>
  <si>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</si>
  <si>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</si>
  <si>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</si>
  <si>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</si>
  <si>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fantasy_points</t>
  </si>
  <si>
    <t>fantasy_points_ppr</t>
  </si>
  <si>
    <t>00-0023459</t>
  </si>
  <si>
    <t>A.Rodgers</t>
  </si>
  <si>
    <t>Aaron Rodgers</t>
  </si>
  <si>
    <t>QB</t>
  </si>
  <si>
    <t>REG</t>
  </si>
  <si>
    <t>2026_01_ATL_PIT</t>
  </si>
  <si>
    <t>PIT</t>
  </si>
  <si>
    <t>ATL</t>
  </si>
  <si>
    <t>2026_01_BAL_IND</t>
  </si>
  <si>
    <t>BAL</t>
  </si>
  <si>
    <t>IND</t>
  </si>
  <si>
    <t>00-0026498</t>
  </si>
  <si>
    <t>M.Stafford</t>
  </si>
  <si>
    <t>Matthew Stafford</t>
  </si>
  <si>
    <t>2026_01_SF_LA</t>
  </si>
  <si>
    <t>LA</t>
  </si>
  <si>
    <t>SF</t>
  </si>
  <si>
    <t>00-0029604</t>
  </si>
  <si>
    <t>K.Cousins</t>
  </si>
  <si>
    <t>Kirk Cousins</t>
  </si>
  <si>
    <t>2026_01_MIA_LV</t>
  </si>
  <si>
    <t>LV</t>
  </si>
  <si>
    <t>MIA</t>
  </si>
  <si>
    <t>2026_01_GB_MIN</t>
  </si>
  <si>
    <t>MIN</t>
  </si>
  <si>
    <t>GB</t>
  </si>
  <si>
    <t>2026_01_NYJ_TEN</t>
  </si>
  <si>
    <t>NYJ</t>
  </si>
  <si>
    <t>TEN</t>
  </si>
  <si>
    <t>2026_01_DAL_NYG</t>
  </si>
  <si>
    <t>DAL</t>
  </si>
  <si>
    <t>NYG</t>
  </si>
  <si>
    <t>2026_01_CHI_CAR</t>
  </si>
  <si>
    <t>CAR</t>
  </si>
  <si>
    <t>CHI</t>
  </si>
  <si>
    <t>2026_01_WAS_PHI</t>
  </si>
  <si>
    <t>WAS</t>
  </si>
  <si>
    <t>PHI</t>
  </si>
  <si>
    <t>2026_01_ARI_LAC</t>
  </si>
  <si>
    <t>LAC</t>
  </si>
  <si>
    <t>ARI</t>
  </si>
  <si>
    <t>00-0030565</t>
  </si>
  <si>
    <t>G.Smith</t>
  </si>
  <si>
    <t>Geno Smith</t>
  </si>
  <si>
    <t>2026_01_NE_SEA</t>
  </si>
  <si>
    <t>NE</t>
  </si>
  <si>
    <t>SEA</t>
  </si>
  <si>
    <t>2026_01_BUF_HOU</t>
  </si>
  <si>
    <t>HOU</t>
  </si>
  <si>
    <t>BUF</t>
  </si>
  <si>
    <t>2026_01_TB_CIN</t>
  </si>
  <si>
    <t>TB</t>
  </si>
  <si>
    <t>CIN</t>
  </si>
  <si>
    <t>2026_01_CLE_JAX</t>
  </si>
  <si>
    <t>JAX</t>
  </si>
  <si>
    <t>CLE</t>
  </si>
  <si>
    <t>00-0032950</t>
  </si>
  <si>
    <t>C.Wentz</t>
  </si>
  <si>
    <t>Carson Wentz</t>
  </si>
  <si>
    <t>00-0033077</t>
  </si>
  <si>
    <t>D.Prescott</t>
  </si>
  <si>
    <t>Dak Prescott</t>
  </si>
  <si>
    <t>00-0033106</t>
  </si>
  <si>
    <t>J.Goff</t>
  </si>
  <si>
    <t>Jared Goff</t>
  </si>
  <si>
    <t>2026_01_NO_DET</t>
  </si>
  <si>
    <t>DET</t>
  </si>
  <si>
    <t>NO</t>
  </si>
  <si>
    <t>00-0033119</t>
  </si>
  <si>
    <t>J.Brissett</t>
  </si>
  <si>
    <t>Jacoby Brissett</t>
  </si>
  <si>
    <t>00-0033319</t>
  </si>
  <si>
    <t>N.Mullens</t>
  </si>
  <si>
    <t>Nick Mullens</t>
  </si>
  <si>
    <t>J.Allen</t>
  </si>
  <si>
    <t>00-0033537</t>
  </si>
  <si>
    <t>D.Watson</t>
  </si>
  <si>
    <t>Deshaun Watson</t>
  </si>
  <si>
    <t>00-0033662</t>
  </si>
  <si>
    <t>C.Rush</t>
  </si>
  <si>
    <t>Cooper Rush</t>
  </si>
  <si>
    <t>C.Ward</t>
  </si>
  <si>
    <t>00-0034796</t>
  </si>
  <si>
    <t>L.Jackson</t>
  </si>
  <si>
    <t>Lamar Jackson</t>
  </si>
  <si>
    <t>00-0034855</t>
  </si>
  <si>
    <t>B.Mayfield</t>
  </si>
  <si>
    <t>Baker Mayfield</t>
  </si>
  <si>
    <t>00-0034857</t>
  </si>
  <si>
    <t>Josh Allen</t>
  </si>
  <si>
    <t>00-0034869</t>
  </si>
  <si>
    <t>S.Darnold</t>
  </si>
  <si>
    <t>Sam Darnold</t>
  </si>
  <si>
    <t>J.Love</t>
  </si>
  <si>
    <t>00-0035228</t>
  </si>
  <si>
    <t>K.Murray</t>
  </si>
  <si>
    <t>Kyler Murray</t>
  </si>
  <si>
    <t>D.Jones</t>
  </si>
  <si>
    <t>00-0035704</t>
  </si>
  <si>
    <t>D.Lock</t>
  </si>
  <si>
    <t>Drew Lock</t>
  </si>
  <si>
    <t>00-0035710</t>
  </si>
  <si>
    <t>Daniel Jones</t>
  </si>
  <si>
    <t>00-0036264</t>
  </si>
  <si>
    <t>Jordan Love</t>
  </si>
  <si>
    <t>00-0036355</t>
  </si>
  <si>
    <t>J.Herbert</t>
  </si>
  <si>
    <t>Justin Herbert</t>
  </si>
  <si>
    <t>00-0036389</t>
  </si>
  <si>
    <t>J.Hurts</t>
  </si>
  <si>
    <t>Jalen Hurts</t>
  </si>
  <si>
    <t>00-0036442</t>
  </si>
  <si>
    <t>J.Burrow</t>
  </si>
  <si>
    <t>Joe Burrow</t>
  </si>
  <si>
    <t>00-0036971</t>
  </si>
  <si>
    <t>T.Lawrence</t>
  </si>
  <si>
    <t>Trevor Lawrence</t>
  </si>
  <si>
    <t>00-0037834</t>
  </si>
  <si>
    <t>B.Purdy</t>
  </si>
  <si>
    <t>Brock Purdy</t>
  </si>
  <si>
    <t>00-0038102</t>
  </si>
  <si>
    <t>K.Pickett</t>
  </si>
  <si>
    <t>Kenny Pickett</t>
  </si>
  <si>
    <t>00-0038128</t>
  </si>
  <si>
    <t>M.Willis</t>
  </si>
  <si>
    <t>Malik Willis</t>
  </si>
  <si>
    <t>B.Young</t>
  </si>
  <si>
    <t>00-0039107</t>
  </si>
  <si>
    <t>S.Bennett</t>
  </si>
  <si>
    <t>Stetson Bennett</t>
  </si>
  <si>
    <t>00-0039150</t>
  </si>
  <si>
    <t>Bryce Young</t>
  </si>
  <si>
    <t>00-0039163</t>
  </si>
  <si>
    <t>C.Stroud</t>
  </si>
  <si>
    <t>C.J. Stroud</t>
  </si>
  <si>
    <t>00-0039851</t>
  </si>
  <si>
    <t>D.Maye</t>
  </si>
  <si>
    <t>Drake Maye</t>
  </si>
  <si>
    <t>00-0039910</t>
  </si>
  <si>
    <t>J.Daniels</t>
  </si>
  <si>
    <t>Jayden Daniels</t>
  </si>
  <si>
    <t>00-0039918</t>
  </si>
  <si>
    <t>C.Williams</t>
  </si>
  <si>
    <t>Caleb Williams</t>
  </si>
  <si>
    <t>00-0040676</t>
  </si>
  <si>
    <t>Cam Ward</t>
  </si>
  <si>
    <t>00-0040691</t>
  </si>
  <si>
    <t>J.Dart</t>
  </si>
  <si>
    <t>Jaxson Dart</t>
  </si>
  <si>
    <t>00-0040743</t>
  </si>
  <si>
    <t>T.Shough</t>
  </si>
  <si>
    <t>Tyler Shough</t>
  </si>
  <si>
    <t>Row Labels</t>
  </si>
  <si>
    <t>Grand Total</t>
  </si>
  <si>
    <t>Column Labels</t>
  </si>
  <si>
    <t>Employee</t>
  </si>
  <si>
    <t>Start Date</t>
  </si>
  <si>
    <t>End Date</t>
  </si>
  <si>
    <t>Month</t>
  </si>
  <si>
    <t>Days</t>
  </si>
  <si>
    <t>Car Rentals</t>
  </si>
  <si>
    <t>Gas</t>
  </si>
  <si>
    <t>Parking Fees</t>
  </si>
  <si>
    <t>Flights</t>
  </si>
  <si>
    <t>Rideshares</t>
  </si>
  <si>
    <t>Hotels</t>
  </si>
  <si>
    <t>Food and Drinks</t>
  </si>
  <si>
    <t>Conference Fees</t>
  </si>
  <si>
    <t>Other</t>
  </si>
  <si>
    <t>Total</t>
  </si>
  <si>
    <t>Lucia Monroy</t>
  </si>
  <si>
    <t>October</t>
  </si>
  <si>
    <t>Arlene Frank</t>
  </si>
  <si>
    <t>Jean-Louis Auclair</t>
  </si>
  <si>
    <t>Jesse Otero</t>
  </si>
  <si>
    <t>George Hynes</t>
  </si>
  <si>
    <t>Casey Glover</t>
  </si>
  <si>
    <t>Tracy Mudau</t>
  </si>
  <si>
    <t>November</t>
  </si>
  <si>
    <t>Minnie Pearce</t>
  </si>
  <si>
    <t>Craig Steele</t>
  </si>
  <si>
    <t>Debbie Gomez</t>
  </si>
  <si>
    <t>December</t>
  </si>
  <si>
    <t>Jason Burton</t>
  </si>
  <si>
    <t>Sylvain Daoust</t>
  </si>
  <si>
    <t>Lee Ha</t>
  </si>
  <si>
    <t>Eliana Castellano</t>
  </si>
  <si>
    <t>Byron Gomez</t>
  </si>
  <si>
    <t>Fanny Marquez</t>
  </si>
  <si>
    <t>Place the "Total Expense by Travel Category" chart here for grading.</t>
  </si>
  <si>
    <t>Place the "Comparison of Three Months of Travel Costs" chart here for grading.</t>
  </si>
  <si>
    <t>Flight</t>
  </si>
  <si>
    <t>Hotel</t>
  </si>
  <si>
    <t>Place the "Trips with Highest Totals" here for grading.</t>
  </si>
  <si>
    <t>Daily Average</t>
  </si>
  <si>
    <t>Count of Days</t>
  </si>
  <si>
    <t>Sum of Car Rentals</t>
  </si>
  <si>
    <t>Sum of Total</t>
  </si>
  <si>
    <t>Sum of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</si>
</sst>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;@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02B231"/>
      </patternFill>
    </fill>
    <fill>
      <patternFill patternType="solid">
        <fgColor rgb="FFF0E68C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BBBBBB"/>
      </right>
      <top style="medium">
        <color rgb="FF000000"/>
      </top>
      <bottom style="thin">
        <color rgb="FFBBBBBB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2" borderId="0" xfId="0" applyFont="1" applyFill="1"/>
    <xf numFmtId="4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/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5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 by Travel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Charts!$C$2:$K$2</c:f>
              <c:strCache>
                <c:ptCount val="9"/>
                <c:pt idx="0">
                  <c:v>Car Rentals</c:v>
                </c:pt>
                <c:pt idx="1">
                  <c:v>Gas</c:v>
                </c:pt>
                <c:pt idx="2">
                  <c:v>Parking Fees</c:v>
                </c:pt>
                <c:pt idx="3">
                  <c:v>Flights</c:v>
                </c:pt>
                <c:pt idx="4">
                  <c:v>Rideshares</c:v>
                </c:pt>
                <c:pt idx="5">
                  <c:v>Hotels</c:v>
                </c:pt>
                <c:pt idx="6">
                  <c:v>Food and Drinks</c:v>
                </c:pt>
                <c:pt idx="7">
                  <c:v>Conference Fees</c:v>
                </c:pt>
                <c:pt idx="8">
                  <c:v>Other</c:v>
                </c:pt>
              </c:strCache>
            </c:strRef>
          </c:cat>
          <c:val>
            <c:numRef>
              <c:f>Charts!$C$6:$K$6</c:f>
              <c:numCache>
                <c:formatCode>_("$"* #,##0.00_);_("$"* \(#,##0.00\);_("$"* "-"??_);_(@_)</c:formatCode>
                <c:ptCount val="9"/>
                <c:pt idx="0">
                  <c:v>6129</c:v>
                </c:pt>
                <c:pt idx="1">
                  <c:v>4465.8999999999996</c:v>
                </c:pt>
                <c:pt idx="2">
                  <c:v>1979</c:v>
                </c:pt>
                <c:pt idx="3">
                  <c:v>25563.83</c:v>
                </c:pt>
                <c:pt idx="4">
                  <c:v>2071</c:v>
                </c:pt>
                <c:pt idx="5">
                  <c:v>34331.94</c:v>
                </c:pt>
                <c:pt idx="6">
                  <c:v>11171.53</c:v>
                </c:pt>
                <c:pt idx="7">
                  <c:v>4545</c:v>
                </c:pt>
                <c:pt idx="8">
                  <c:v>348.1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0-4B1B-AC8B-051ADC62C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153167"/>
        <c:axId val="305983888"/>
      </c:barChart>
      <c:catAx>
        <c:axId val="15611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83888"/>
        <c:crosses val="autoZero"/>
        <c:auto val="1"/>
        <c:lblAlgn val="ctr"/>
        <c:lblOffset val="100"/>
        <c:noMultiLvlLbl val="0"/>
      </c:catAx>
      <c:valAx>
        <c:axId val="3059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5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Three Months of Travel Costs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Charts!$C$2:$K$2</c:f>
              <c:strCache>
                <c:ptCount val="9"/>
                <c:pt idx="0">
                  <c:v>Car Rentals</c:v>
                </c:pt>
                <c:pt idx="1">
                  <c:v>Gas</c:v>
                </c:pt>
                <c:pt idx="2">
                  <c:v>Parking Fees</c:v>
                </c:pt>
                <c:pt idx="3">
                  <c:v>Flights</c:v>
                </c:pt>
                <c:pt idx="4">
                  <c:v>Rideshares</c:v>
                </c:pt>
                <c:pt idx="5">
                  <c:v>Hotels</c:v>
                </c:pt>
                <c:pt idx="6">
                  <c:v>Food and Drinks</c:v>
                </c:pt>
                <c:pt idx="7">
                  <c:v>Conference Fees</c:v>
                </c:pt>
                <c:pt idx="8">
                  <c:v>Other</c:v>
                </c:pt>
              </c:strCache>
            </c:strRef>
          </c:cat>
          <c:val>
            <c:numRef>
              <c:f>Charts!$C$3:$K$3</c:f>
              <c:numCache>
                <c:formatCode>_("$"* #,##0.00_);_("$"* \(#,##0.00\);_("$"* "-"??_);_(@_)</c:formatCode>
                <c:ptCount val="9"/>
                <c:pt idx="0">
                  <c:v>2247.3000000000002</c:v>
                </c:pt>
                <c:pt idx="1">
                  <c:v>1353.2</c:v>
                </c:pt>
                <c:pt idx="2">
                  <c:v>242</c:v>
                </c:pt>
                <c:pt idx="3">
                  <c:v>9168.02</c:v>
                </c:pt>
                <c:pt idx="4">
                  <c:v>579</c:v>
                </c:pt>
                <c:pt idx="5">
                  <c:v>12853.55</c:v>
                </c:pt>
                <c:pt idx="6">
                  <c:v>4307.8599999999997</c:v>
                </c:pt>
                <c:pt idx="7">
                  <c:v>2784</c:v>
                </c:pt>
                <c:pt idx="8">
                  <c:v>160.99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3-48DF-9295-E2F10E0EA747}"/>
            </c:ext>
          </c:extLst>
        </c:ser>
        <c:ser>
          <c:idx val="1"/>
          <c:order val="1"/>
          <c:tx>
            <c:strRef>
              <c:f>Charts!$B$4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Charts!$C$2:$K$2</c:f>
              <c:strCache>
                <c:ptCount val="9"/>
                <c:pt idx="0">
                  <c:v>Car Rentals</c:v>
                </c:pt>
                <c:pt idx="1">
                  <c:v>Gas</c:v>
                </c:pt>
                <c:pt idx="2">
                  <c:v>Parking Fees</c:v>
                </c:pt>
                <c:pt idx="3">
                  <c:v>Flights</c:v>
                </c:pt>
                <c:pt idx="4">
                  <c:v>Rideshares</c:v>
                </c:pt>
                <c:pt idx="5">
                  <c:v>Hotels</c:v>
                </c:pt>
                <c:pt idx="6">
                  <c:v>Food and Drinks</c:v>
                </c:pt>
                <c:pt idx="7">
                  <c:v>Conference Fees</c:v>
                </c:pt>
                <c:pt idx="8">
                  <c:v>Other</c:v>
                </c:pt>
              </c:strCache>
            </c:strRef>
          </c:cat>
          <c:val>
            <c:numRef>
              <c:f>Charts!$C$4:$K$4</c:f>
              <c:numCache>
                <c:formatCode>_("$"* #,##0.00_);_("$"* \(#,##0.00\);_("$"* "-"??_);_(@_)</c:formatCode>
                <c:ptCount val="9"/>
                <c:pt idx="0">
                  <c:v>2145.15</c:v>
                </c:pt>
                <c:pt idx="1">
                  <c:v>1615.85</c:v>
                </c:pt>
                <c:pt idx="2">
                  <c:v>986</c:v>
                </c:pt>
                <c:pt idx="3">
                  <c:v>5897.73</c:v>
                </c:pt>
                <c:pt idx="4">
                  <c:v>774</c:v>
                </c:pt>
                <c:pt idx="5">
                  <c:v>10322.56</c:v>
                </c:pt>
                <c:pt idx="6">
                  <c:v>3488.55</c:v>
                </c:pt>
                <c:pt idx="7">
                  <c:v>777</c:v>
                </c:pt>
                <c:pt idx="8">
                  <c:v>25.42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3-48DF-9295-E2F10E0EA747}"/>
            </c:ext>
          </c:extLst>
        </c:ser>
        <c:ser>
          <c:idx val="2"/>
          <c:order val="2"/>
          <c:tx>
            <c:strRef>
              <c:f>Charts!$B$5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Charts!$C$2:$K$2</c:f>
              <c:strCache>
                <c:ptCount val="9"/>
                <c:pt idx="0">
                  <c:v>Car Rentals</c:v>
                </c:pt>
                <c:pt idx="1">
                  <c:v>Gas</c:v>
                </c:pt>
                <c:pt idx="2">
                  <c:v>Parking Fees</c:v>
                </c:pt>
                <c:pt idx="3">
                  <c:v>Flights</c:v>
                </c:pt>
                <c:pt idx="4">
                  <c:v>Rideshares</c:v>
                </c:pt>
                <c:pt idx="5">
                  <c:v>Hotels</c:v>
                </c:pt>
                <c:pt idx="6">
                  <c:v>Food and Drinks</c:v>
                </c:pt>
                <c:pt idx="7">
                  <c:v>Conference Fees</c:v>
                </c:pt>
                <c:pt idx="8">
                  <c:v>Other</c:v>
                </c:pt>
              </c:strCache>
            </c:strRef>
          </c:cat>
          <c:val>
            <c:numRef>
              <c:f>Charts!$C$5:$K$5</c:f>
              <c:numCache>
                <c:formatCode>_("$"* #,##0.00_);_("$"* \(#,##0.00\);_("$"* "-"??_);_(@_)</c:formatCode>
                <c:ptCount val="9"/>
                <c:pt idx="0">
                  <c:v>1736.55</c:v>
                </c:pt>
                <c:pt idx="1">
                  <c:v>1496.85</c:v>
                </c:pt>
                <c:pt idx="2">
                  <c:v>751</c:v>
                </c:pt>
                <c:pt idx="3">
                  <c:v>10498.08</c:v>
                </c:pt>
                <c:pt idx="4">
                  <c:v>718</c:v>
                </c:pt>
                <c:pt idx="5">
                  <c:v>11155.83</c:v>
                </c:pt>
                <c:pt idx="6">
                  <c:v>3375.12</c:v>
                </c:pt>
                <c:pt idx="7">
                  <c:v>984</c:v>
                </c:pt>
                <c:pt idx="8">
                  <c:v>161.69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3-48DF-9295-E2F10E0EA747}"/>
            </c:ext>
          </c:extLst>
        </c:ser>
        <c:ser>
          <c:idx val="3"/>
          <c:order val="3"/>
          <c:tx>
            <c:strRef>
              <c:f>Charts!$B$6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Charts!$C$2:$K$2</c:f>
              <c:strCache>
                <c:ptCount val="9"/>
                <c:pt idx="0">
                  <c:v>Car Rentals</c:v>
                </c:pt>
                <c:pt idx="1">
                  <c:v>Gas</c:v>
                </c:pt>
                <c:pt idx="2">
                  <c:v>Parking Fees</c:v>
                </c:pt>
                <c:pt idx="3">
                  <c:v>Flights</c:v>
                </c:pt>
                <c:pt idx="4">
                  <c:v>Rideshares</c:v>
                </c:pt>
                <c:pt idx="5">
                  <c:v>Hotels</c:v>
                </c:pt>
                <c:pt idx="6">
                  <c:v>Food and Drinks</c:v>
                </c:pt>
                <c:pt idx="7">
                  <c:v>Conference Fees</c:v>
                </c:pt>
                <c:pt idx="8">
                  <c:v>Other</c:v>
                </c:pt>
              </c:strCache>
            </c:strRef>
          </c:cat>
          <c:val>
            <c:numRef>
              <c:f>Charts!$C$6:$K$6</c:f>
              <c:numCache>
                <c:formatCode>_("$"* #,##0.00_);_("$"* \(#,##0.00\);_("$"* "-"??_);_(@_)</c:formatCode>
                <c:ptCount val="9"/>
                <c:pt idx="0">
                  <c:v>6129</c:v>
                </c:pt>
                <c:pt idx="1">
                  <c:v>4465.8999999999996</c:v>
                </c:pt>
                <c:pt idx="2">
                  <c:v>1979</c:v>
                </c:pt>
                <c:pt idx="3">
                  <c:v>25563.83</c:v>
                </c:pt>
                <c:pt idx="4">
                  <c:v>2071</c:v>
                </c:pt>
                <c:pt idx="5">
                  <c:v>34331.94</c:v>
                </c:pt>
                <c:pt idx="6">
                  <c:v>11171.53</c:v>
                </c:pt>
                <c:pt idx="7">
                  <c:v>4545</c:v>
                </c:pt>
                <c:pt idx="8">
                  <c:v>348.1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3-48DF-9295-E2F10E0EA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673615"/>
        <c:axId val="305979568"/>
      </c:barChart>
      <c:catAx>
        <c:axId val="159367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979568"/>
        <c:crosses val="autoZero"/>
        <c:auto val="1"/>
        <c:lblAlgn val="ctr"/>
        <c:lblOffset val="100"/>
        <c:noMultiLvlLbl val="0"/>
      </c:catAx>
      <c:valAx>
        <c:axId val="3059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67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Trips</a:t>
            </a:r>
            <a:r>
              <a:rPr lang="en-US" baseline="0"/>
              <a:t> with Highest Totals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Chart'!$D$2</c:f>
              <c:strCache>
                <c:ptCount val="1"/>
                <c:pt idx="0">
                  <c:v>Flight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Chart'!$C$3:$C$13</c:f>
              <c:numCache>
                <c:formatCode>m/d;@</c:formatCode>
                <c:ptCount val="11"/>
                <c:pt idx="0">
                  <c:v>44858</c:v>
                </c:pt>
                <c:pt idx="1">
                  <c:v>44900</c:v>
                </c:pt>
                <c:pt idx="2">
                  <c:v>44849</c:v>
                </c:pt>
                <c:pt idx="3">
                  <c:v>44874</c:v>
                </c:pt>
                <c:pt idx="4">
                  <c:v>44837</c:v>
                </c:pt>
                <c:pt idx="5">
                  <c:v>44849</c:v>
                </c:pt>
                <c:pt idx="6">
                  <c:v>44903</c:v>
                </c:pt>
                <c:pt idx="7">
                  <c:v>44838</c:v>
                </c:pt>
                <c:pt idx="8">
                  <c:v>44848</c:v>
                </c:pt>
                <c:pt idx="9">
                  <c:v>44923</c:v>
                </c:pt>
                <c:pt idx="10">
                  <c:v>44883</c:v>
                </c:pt>
              </c:numCache>
            </c:numRef>
          </c:cat>
          <c:val>
            <c:numRef>
              <c:f>'Line Chart'!$D$3:$D$13</c:f>
              <c:numCache>
                <c:formatCode>"$"#,##0.00</c:formatCode>
                <c:ptCount val="11"/>
                <c:pt idx="0">
                  <c:v>774.46</c:v>
                </c:pt>
                <c:pt idx="1">
                  <c:v>760.62</c:v>
                </c:pt>
                <c:pt idx="2">
                  <c:v>438.82</c:v>
                </c:pt>
                <c:pt idx="3">
                  <c:v>554.41999999999996</c:v>
                </c:pt>
                <c:pt idx="4">
                  <c:v>775.55</c:v>
                </c:pt>
                <c:pt idx="5">
                  <c:v>799.6</c:v>
                </c:pt>
                <c:pt idx="6">
                  <c:v>575.54999999999995</c:v>
                </c:pt>
                <c:pt idx="7">
                  <c:v>611.15</c:v>
                </c:pt>
                <c:pt idx="8">
                  <c:v>478.36</c:v>
                </c:pt>
                <c:pt idx="9">
                  <c:v>529.32000000000005</c:v>
                </c:pt>
                <c:pt idx="10">
                  <c:v>397.13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8-48F8-9B52-DEBD0A28D741}"/>
            </c:ext>
          </c:extLst>
        </c:ser>
        <c:ser>
          <c:idx val="1"/>
          <c:order val="1"/>
          <c:tx>
            <c:strRef>
              <c:f>'Line Chart'!$E$2</c:f>
              <c:strCache>
                <c:ptCount val="1"/>
                <c:pt idx="0">
                  <c:v>Hotel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Chart'!$C$3:$C$13</c:f>
              <c:numCache>
                <c:formatCode>m/d;@</c:formatCode>
                <c:ptCount val="11"/>
                <c:pt idx="0">
                  <c:v>44858</c:v>
                </c:pt>
                <c:pt idx="1">
                  <c:v>44900</c:v>
                </c:pt>
                <c:pt idx="2">
                  <c:v>44849</c:v>
                </c:pt>
                <c:pt idx="3">
                  <c:v>44874</c:v>
                </c:pt>
                <c:pt idx="4">
                  <c:v>44837</c:v>
                </c:pt>
                <c:pt idx="5">
                  <c:v>44849</c:v>
                </c:pt>
                <c:pt idx="6">
                  <c:v>44903</c:v>
                </c:pt>
                <c:pt idx="7">
                  <c:v>44838</c:v>
                </c:pt>
                <c:pt idx="8">
                  <c:v>44848</c:v>
                </c:pt>
                <c:pt idx="9">
                  <c:v>44923</c:v>
                </c:pt>
                <c:pt idx="10">
                  <c:v>44883</c:v>
                </c:pt>
              </c:numCache>
            </c:numRef>
          </c:cat>
          <c:val>
            <c:numRef>
              <c:f>'Line Chart'!$E$3:$E$13</c:f>
              <c:numCache>
                <c:formatCode>"$"#,##0.00</c:formatCode>
                <c:ptCount val="11"/>
                <c:pt idx="0">
                  <c:v>624.62</c:v>
                </c:pt>
                <c:pt idx="1">
                  <c:v>947.35</c:v>
                </c:pt>
                <c:pt idx="2">
                  <c:v>860.69</c:v>
                </c:pt>
                <c:pt idx="3">
                  <c:v>1000.14</c:v>
                </c:pt>
                <c:pt idx="4">
                  <c:v>863.63</c:v>
                </c:pt>
                <c:pt idx="5">
                  <c:v>785.69</c:v>
                </c:pt>
                <c:pt idx="6">
                  <c:v>951.4</c:v>
                </c:pt>
                <c:pt idx="7">
                  <c:v>818.85</c:v>
                </c:pt>
                <c:pt idx="8">
                  <c:v>993.9</c:v>
                </c:pt>
                <c:pt idx="9">
                  <c:v>917.83</c:v>
                </c:pt>
                <c:pt idx="10">
                  <c:v>993.57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8-48F8-9B52-DEBD0A28D741}"/>
            </c:ext>
          </c:extLst>
        </c:ser>
        <c:ser>
          <c:idx val="2"/>
          <c:order val="2"/>
          <c:tx>
            <c:strRef>
              <c:f>'Line Chart'!$F$2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 Chart'!$C$3:$C$13</c:f>
              <c:numCache>
                <c:formatCode>m/d;@</c:formatCode>
                <c:ptCount val="11"/>
                <c:pt idx="0">
                  <c:v>44858</c:v>
                </c:pt>
                <c:pt idx="1">
                  <c:v>44900</c:v>
                </c:pt>
                <c:pt idx="2">
                  <c:v>44849</c:v>
                </c:pt>
                <c:pt idx="3">
                  <c:v>44874</c:v>
                </c:pt>
                <c:pt idx="4">
                  <c:v>44837</c:v>
                </c:pt>
                <c:pt idx="5">
                  <c:v>44849</c:v>
                </c:pt>
                <c:pt idx="6">
                  <c:v>44903</c:v>
                </c:pt>
                <c:pt idx="7">
                  <c:v>44838</c:v>
                </c:pt>
                <c:pt idx="8">
                  <c:v>44848</c:v>
                </c:pt>
                <c:pt idx="9">
                  <c:v>44923</c:v>
                </c:pt>
                <c:pt idx="10">
                  <c:v>44883</c:v>
                </c:pt>
              </c:numCache>
            </c:numRef>
          </c:cat>
          <c:val>
            <c:numRef>
              <c:f>'Line Chart'!$F$3:$F$13</c:f>
              <c:numCache>
                <c:formatCode>"$"#,##0.00</c:formatCode>
                <c:ptCount val="11"/>
                <c:pt idx="0">
                  <c:v>2405.9499999999998</c:v>
                </c:pt>
                <c:pt idx="1">
                  <c:v>2394.4699999999998</c:v>
                </c:pt>
                <c:pt idx="2">
                  <c:v>2270</c:v>
                </c:pt>
                <c:pt idx="3">
                  <c:v>2225.29</c:v>
                </c:pt>
                <c:pt idx="4">
                  <c:v>2215.16</c:v>
                </c:pt>
                <c:pt idx="5">
                  <c:v>2212.21</c:v>
                </c:pt>
                <c:pt idx="6">
                  <c:v>2211.5500000000002</c:v>
                </c:pt>
                <c:pt idx="7">
                  <c:v>2185.1</c:v>
                </c:pt>
                <c:pt idx="8">
                  <c:v>2149.61</c:v>
                </c:pt>
                <c:pt idx="9">
                  <c:v>2146.35</c:v>
                </c:pt>
                <c:pt idx="10">
                  <c:v>2027.88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8-48F8-9B52-DEBD0A28D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128512"/>
        <c:axId val="306045328"/>
      </c:lineChart>
      <c:dateAx>
        <c:axId val="30812851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45328"/>
        <c:crosses val="autoZero"/>
        <c:auto val="1"/>
        <c:lblOffset val="100"/>
        <c:baseTimeUnit val="days"/>
      </c:dateAx>
      <c:valAx>
        <c:axId val="30604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12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723900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CF3C94-71ED-1822-38F0-C1F0F16EE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184150</xdr:rowOff>
    </xdr:from>
    <xdr:to>
      <xdr:col>14</xdr:col>
      <xdr:colOff>241300</xdr:colOff>
      <xdr:row>21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12406D-02C7-8876-E731-99E59925F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6350</xdr:rowOff>
    </xdr:from>
    <xdr:to>
      <xdr:col>13</xdr:col>
      <xdr:colOff>25400</xdr:colOff>
      <xdr:row>12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106BC-D0FA-2C9B-522B-60BFB1015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Williams" refreshedDate="46282.282668981483" createdVersion="8" refreshedVersion="8" minRefreshableVersion="3" recordCount="61" xr:uid="{2DE99E02-4B87-46A9-9965-D90354D5545F}">
  <cacheSource type="worksheet">
    <worksheetSource ref="B2:P63" sheet="Data"/>
  </cacheSource>
  <cacheFields count="15">
    <cacheField name="Employee" numFmtId="0">
      <sharedItems count="16">
        <s v="Lucia Monroy"/>
        <s v="Jason Burton"/>
        <s v="Lee Ha"/>
        <s v="Arlene Frank"/>
        <s v="Minnie Pearce"/>
        <s v="Craig Steele"/>
        <s v="Tracy Mudau"/>
        <s v="Debbie Gomez"/>
        <s v="Jean-Louis Auclair"/>
        <s v="Eliana Castellano"/>
        <s v="Jesse Otero"/>
        <s v="Fanny Marquez"/>
        <s v="Sylvain Daoust"/>
        <s v="George Hynes"/>
        <s v="Byron Gomez"/>
        <s v="Casey Glover"/>
      </sharedItems>
    </cacheField>
    <cacheField name="Start Date" numFmtId="164">
      <sharedItems containsSemiMixedTypes="0" containsNonDate="0" containsDate="1" containsString="0" minDate="2022-10-01T00:00:00" maxDate="2022-12-29T00:00:00"/>
    </cacheField>
    <cacheField name="End Date" numFmtId="164">
      <sharedItems containsSemiMixedTypes="0" containsNonDate="0" containsDate="1" containsString="0" minDate="2022-10-03T00:00:00" maxDate="2023-01-04T00:00:00"/>
    </cacheField>
    <cacheField name="Month" numFmtId="0">
      <sharedItems count="3">
        <s v="October"/>
        <s v="November"/>
        <s v="December"/>
      </sharedItems>
    </cacheField>
    <cacheField name="Days" numFmtId="0">
      <sharedItems containsSemiMixedTypes="0" containsString="0" containsNumber="1" containsInteger="1" minValue="1" maxValue="7" count="7">
        <n v="2"/>
        <n v="3"/>
        <n v="4"/>
        <n v="5"/>
        <n v="6"/>
        <n v="7"/>
        <n v="1"/>
      </sharedItems>
    </cacheField>
    <cacheField name="Car Rentals" numFmtId="165">
      <sharedItems containsString="0" containsBlank="1" containsNumber="1" minValue="34.049999999999997" maxValue="238.35"/>
    </cacheField>
    <cacheField name="Gas" numFmtId="165">
      <sharedItems containsString="0" containsBlank="1" containsNumber="1" minValue="25.5" maxValue="166.6"/>
    </cacheField>
    <cacheField name="Parking Fees" numFmtId="165">
      <sharedItems containsString="0" containsBlank="1" containsNumber="1" containsInteger="1" minValue="12" maxValue="120"/>
    </cacheField>
    <cacheField name="Flights" numFmtId="165">
      <sharedItems containsString="0" containsBlank="1" containsNumber="1" minValue="248.71" maxValue="799.93"/>
    </cacheField>
    <cacheField name="Rideshares" numFmtId="165">
      <sharedItems containsString="0" containsBlank="1" containsNumber="1" containsInteger="1" minValue="28" maxValue="245"/>
    </cacheField>
    <cacheField name="Hotels" numFmtId="165">
      <sharedItems containsSemiMixedTypes="0" containsString="0" containsNumber="1" minValue="129.13" maxValue="1000.14"/>
    </cacheField>
    <cacheField name="Food and Drinks" numFmtId="165">
      <sharedItems containsSemiMixedTypes="0" containsString="0" containsNumber="1" minValue="54.25" maxValue="420.18"/>
    </cacheField>
    <cacheField name="Conference Fees" numFmtId="165">
      <sharedItems containsString="0" containsBlank="1" containsNumber="1" containsInteger="1" minValue="39" maxValue="860"/>
    </cacheField>
    <cacheField name="Other" numFmtId="165">
      <sharedItems containsString="0" containsBlank="1" containsNumber="1" minValue="10.68" maxValue="81.5"/>
    </cacheField>
    <cacheField name="Total" numFmtId="165">
      <sharedItems containsSemiMixedTypes="0" containsString="0" containsNumber="1" minValue="325.70999999999998" maxValue="2405.94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d v="2022-10-01T00:00:00"/>
    <d v="2022-10-03T00:00:00"/>
    <x v="0"/>
    <x v="0"/>
    <m/>
    <m/>
    <m/>
    <n v="761.95"/>
    <n v="28"/>
    <n v="235.59"/>
    <n v="88.56"/>
    <m/>
    <m/>
    <n v="1114.0999999999999"/>
  </r>
  <r>
    <x v="1"/>
    <d v="2022-10-02T00:00:00"/>
    <d v="2022-10-05T00:00:00"/>
    <x v="0"/>
    <x v="1"/>
    <n v="102.15"/>
    <n v="93.5"/>
    <n v="25"/>
    <n v="787.35"/>
    <m/>
    <n v="299.95"/>
    <n v="150.1"/>
    <n v="334"/>
    <m/>
    <n v="1792.05"/>
  </r>
  <r>
    <x v="2"/>
    <d v="2022-10-04T00:00:00"/>
    <d v="2022-10-08T00:00:00"/>
    <x v="0"/>
    <x v="2"/>
    <n v="136.19999999999999"/>
    <n v="156.4"/>
    <m/>
    <n v="578.95000000000005"/>
    <m/>
    <n v="427.2"/>
    <n v="220.22"/>
    <n v="71"/>
    <m/>
    <n v="1589.97"/>
  </r>
  <r>
    <x v="3"/>
    <d v="2022-10-03T00:00:00"/>
    <d v="2022-10-08T00:00:00"/>
    <x v="0"/>
    <x v="3"/>
    <n v="170.25"/>
    <n v="92.65"/>
    <n v="33"/>
    <m/>
    <m/>
    <n v="609.14"/>
    <n v="215.96"/>
    <m/>
    <m/>
    <n v="1121"/>
  </r>
  <r>
    <x v="4"/>
    <d v="2022-10-03T00:00:00"/>
    <d v="2022-10-09T00:00:00"/>
    <x v="0"/>
    <x v="4"/>
    <n v="204.3"/>
    <n v="161.5"/>
    <m/>
    <n v="775.55"/>
    <m/>
    <n v="863.63"/>
    <n v="210.18"/>
    <m/>
    <m/>
    <n v="2215.16"/>
  </r>
  <r>
    <x v="5"/>
    <d v="2022-10-04T00:00:00"/>
    <d v="2022-10-11T00:00:00"/>
    <x v="0"/>
    <x v="5"/>
    <n v="238.35"/>
    <n v="73.099999999999994"/>
    <n v="12"/>
    <n v="611.15"/>
    <m/>
    <n v="818.85"/>
    <n v="350.15"/>
    <m/>
    <n v="81.5"/>
    <n v="2185.1"/>
  </r>
  <r>
    <x v="6"/>
    <d v="2022-10-09T00:00:00"/>
    <d v="2022-10-14T00:00:00"/>
    <x v="0"/>
    <x v="3"/>
    <n v="170.25"/>
    <n v="89.25"/>
    <n v="15"/>
    <n v="279.33"/>
    <m/>
    <n v="544.37"/>
    <n v="235.37"/>
    <m/>
    <m/>
    <n v="1333.57"/>
  </r>
  <r>
    <x v="3"/>
    <d v="2022-10-13T00:00:00"/>
    <d v="2022-10-15T00:00:00"/>
    <x v="0"/>
    <x v="0"/>
    <m/>
    <m/>
    <m/>
    <n v="256.58999999999997"/>
    <n v="32"/>
    <n v="325.98"/>
    <n v="114.93"/>
    <n v="860"/>
    <m/>
    <n v="1589.5"/>
  </r>
  <r>
    <x v="7"/>
    <d v="2022-10-11T00:00:00"/>
    <d v="2022-10-17T00:00:00"/>
    <x v="0"/>
    <x v="4"/>
    <n v="204.3"/>
    <n v="42.5"/>
    <n v="35"/>
    <m/>
    <m/>
    <n v="893.8"/>
    <n v="258.23"/>
    <m/>
    <m/>
    <n v="1433.83"/>
  </r>
  <r>
    <x v="8"/>
    <d v="2022-10-12T00:00:00"/>
    <d v="2022-10-18T00:00:00"/>
    <x v="0"/>
    <x v="4"/>
    <m/>
    <m/>
    <m/>
    <n v="458.31"/>
    <n v="126"/>
    <n v="737.87"/>
    <n v="180.44"/>
    <m/>
    <m/>
    <n v="1502.62"/>
  </r>
  <r>
    <x v="4"/>
    <d v="2022-10-14T00:00:00"/>
    <d v="2022-10-21T00:00:00"/>
    <x v="0"/>
    <x v="5"/>
    <n v="238.35"/>
    <n v="91.8"/>
    <m/>
    <n v="478.36"/>
    <m/>
    <n v="993.9"/>
    <n v="308.2"/>
    <n v="39"/>
    <m/>
    <n v="2149.61"/>
  </r>
  <r>
    <x v="9"/>
    <d v="2022-10-15T00:00:00"/>
    <d v="2022-10-21T00:00:00"/>
    <x v="0"/>
    <x v="4"/>
    <n v="204.3"/>
    <n v="112.2"/>
    <n v="22"/>
    <n v="799.6"/>
    <m/>
    <n v="785.69"/>
    <n v="288.42"/>
    <m/>
    <m/>
    <n v="2212.21"/>
  </r>
  <r>
    <x v="10"/>
    <d v="2022-10-15T00:00:00"/>
    <d v="2022-10-22T00:00:00"/>
    <x v="0"/>
    <x v="5"/>
    <m/>
    <m/>
    <m/>
    <n v="438.82"/>
    <n v="154"/>
    <n v="860.69"/>
    <n v="252.68"/>
    <n v="495"/>
    <n v="68.81"/>
    <n v="2270"/>
  </r>
  <r>
    <x v="11"/>
    <d v="2022-10-18T00:00:00"/>
    <d v="2022-10-24T00:00:00"/>
    <x v="0"/>
    <x v="4"/>
    <n v="204.3"/>
    <n v="146.19999999999999"/>
    <n v="19"/>
    <m/>
    <m/>
    <n v="923.98"/>
    <n v="258.76"/>
    <m/>
    <m/>
    <n v="1552.24"/>
  </r>
  <r>
    <x v="12"/>
    <d v="2022-10-19T00:00:00"/>
    <d v="2022-10-24T00:00:00"/>
    <x v="0"/>
    <x v="3"/>
    <n v="170.25"/>
    <n v="166.6"/>
    <n v="33"/>
    <n v="558.80999999999995"/>
    <m/>
    <n v="814.46"/>
    <n v="155.47999999999999"/>
    <m/>
    <m/>
    <n v="1898.6"/>
  </r>
  <r>
    <x v="13"/>
    <d v="2022-10-20T00:00:00"/>
    <d v="2022-10-27T00:00:00"/>
    <x v="0"/>
    <x v="5"/>
    <m/>
    <m/>
    <m/>
    <n v="424.56"/>
    <n v="112"/>
    <n v="951.96"/>
    <n v="343.83"/>
    <m/>
    <m/>
    <n v="1832.35"/>
  </r>
  <r>
    <x v="14"/>
    <d v="2022-10-25T00:00:00"/>
    <d v="2022-10-29T00:00:00"/>
    <x v="0"/>
    <x v="2"/>
    <n v="136.19999999999999"/>
    <n v="25.5"/>
    <n v="30"/>
    <n v="542.71"/>
    <m/>
    <n v="563.11"/>
    <n v="196.11"/>
    <m/>
    <m/>
    <n v="1493.63"/>
  </r>
  <r>
    <x v="8"/>
    <d v="2022-10-26T00:00:00"/>
    <d v="2022-10-29T00:00:00"/>
    <x v="0"/>
    <x v="1"/>
    <m/>
    <m/>
    <m/>
    <n v="641.52"/>
    <n v="57"/>
    <n v="311.60000000000002"/>
    <n v="93.5"/>
    <n v="334"/>
    <m/>
    <n v="1437.62"/>
  </r>
  <r>
    <x v="7"/>
    <d v="2022-10-27T00:00:00"/>
    <d v="2022-10-29T00:00:00"/>
    <x v="0"/>
    <x v="0"/>
    <n v="68.099999999999994"/>
    <n v="102"/>
    <n v="18"/>
    <m/>
    <m/>
    <n v="267.16000000000003"/>
    <n v="100.87"/>
    <m/>
    <n v="10.68"/>
    <n v="566.80999999999995"/>
  </r>
  <r>
    <x v="15"/>
    <d v="2022-10-24T00:00:00"/>
    <d v="2022-10-29T00:00:00"/>
    <x v="0"/>
    <x v="3"/>
    <m/>
    <m/>
    <m/>
    <n v="774.46"/>
    <n v="70"/>
    <n v="624.62"/>
    <n v="285.87"/>
    <n v="651"/>
    <m/>
    <n v="2405.9499999999998"/>
  </r>
  <r>
    <x v="13"/>
    <d v="2022-11-04T00:00:00"/>
    <d v="2022-11-05T00:00:00"/>
    <x v="1"/>
    <x v="6"/>
    <n v="34.049999999999997"/>
    <n v="90.1"/>
    <n v="16"/>
    <m/>
    <m/>
    <n v="129.13"/>
    <n v="56.43"/>
    <m/>
    <m/>
    <n v="325.70999999999998"/>
  </r>
  <r>
    <x v="6"/>
    <d v="2022-11-03T00:00:00"/>
    <d v="2022-11-06T00:00:00"/>
    <x v="1"/>
    <x v="1"/>
    <m/>
    <m/>
    <m/>
    <n v="364.46"/>
    <n v="63"/>
    <n v="437.55"/>
    <n v="138.9"/>
    <n v="119"/>
    <m/>
    <n v="1122.9100000000001"/>
  </r>
  <r>
    <x v="14"/>
    <d v="2022-11-06T00:00:00"/>
    <d v="2022-11-10T00:00:00"/>
    <x v="1"/>
    <x v="2"/>
    <n v="136.19999999999999"/>
    <n v="110.5"/>
    <n v="80"/>
    <m/>
    <m/>
    <n v="447.57"/>
    <n v="160.57"/>
    <m/>
    <m/>
    <n v="934.84"/>
  </r>
  <r>
    <x v="5"/>
    <d v="2022-11-07T00:00:00"/>
    <d v="2022-11-10T00:00:00"/>
    <x v="1"/>
    <x v="1"/>
    <n v="102.15"/>
    <n v="49.3"/>
    <n v="42"/>
    <n v="798.19"/>
    <n v="93"/>
    <n v="482.71"/>
    <n v="111.97"/>
    <m/>
    <m/>
    <n v="1679.32"/>
  </r>
  <r>
    <x v="15"/>
    <d v="2022-11-10T00:00:00"/>
    <d v="2022-11-15T00:00:00"/>
    <x v="1"/>
    <x v="3"/>
    <n v="170.25"/>
    <n v="160.65"/>
    <n v="65"/>
    <n v="351.54"/>
    <m/>
    <n v="604.91"/>
    <n v="280.69"/>
    <m/>
    <m/>
    <n v="1633.04"/>
  </r>
  <r>
    <x v="11"/>
    <d v="2022-11-09T00:00:00"/>
    <d v="2022-11-16T00:00:00"/>
    <x v="1"/>
    <x v="5"/>
    <n v="238.35"/>
    <n v="116.45"/>
    <n v="84"/>
    <n v="554.41999999999996"/>
    <m/>
    <n v="1000.14"/>
    <n v="231.93"/>
    <m/>
    <m/>
    <n v="2225.29"/>
  </r>
  <r>
    <x v="5"/>
    <d v="2022-11-12T00:00:00"/>
    <d v="2022-11-16T00:00:00"/>
    <x v="1"/>
    <x v="2"/>
    <n v="136.19999999999999"/>
    <n v="145.35"/>
    <n v="48"/>
    <m/>
    <m/>
    <n v="399.27"/>
    <n v="172.24"/>
    <m/>
    <m/>
    <n v="901.06"/>
  </r>
  <r>
    <x v="8"/>
    <d v="2022-11-12T00:00:00"/>
    <d v="2022-11-18T00:00:00"/>
    <x v="1"/>
    <x v="4"/>
    <n v="204.3"/>
    <n v="85.85"/>
    <n v="120"/>
    <m/>
    <n v="156"/>
    <n v="611.83000000000004"/>
    <n v="198.71"/>
    <m/>
    <m/>
    <n v="1376.69"/>
  </r>
  <r>
    <x v="13"/>
    <d v="2022-11-12T00:00:00"/>
    <d v="2022-11-18T00:00:00"/>
    <x v="1"/>
    <x v="4"/>
    <n v="204.3"/>
    <n v="145.35"/>
    <n v="108"/>
    <m/>
    <m/>
    <n v="671.32"/>
    <n v="192.61"/>
    <m/>
    <m/>
    <n v="1321.58"/>
  </r>
  <r>
    <x v="2"/>
    <d v="2022-11-14T00:00:00"/>
    <d v="2022-11-19T00:00:00"/>
    <x v="1"/>
    <x v="3"/>
    <n v="170.25"/>
    <n v="56.95"/>
    <n v="65"/>
    <n v="583.54"/>
    <m/>
    <n v="499.79"/>
    <n v="180.86"/>
    <n v="280"/>
    <m/>
    <n v="1836.39"/>
  </r>
  <r>
    <x v="1"/>
    <d v="2022-11-19T00:00:00"/>
    <d v="2022-11-21T00:00:00"/>
    <x v="1"/>
    <x v="0"/>
    <n v="68.099999999999994"/>
    <n v="64.599999999999994"/>
    <n v="30"/>
    <n v="278.5"/>
    <m/>
    <n v="305.43"/>
    <n v="110.41"/>
    <m/>
    <m/>
    <n v="857.04"/>
  </r>
  <r>
    <x v="4"/>
    <d v="2022-11-15T00:00:00"/>
    <d v="2022-11-22T00:00:00"/>
    <x v="1"/>
    <x v="5"/>
    <m/>
    <m/>
    <m/>
    <n v="346.53"/>
    <n v="245"/>
    <n v="748.25"/>
    <n v="238.4"/>
    <m/>
    <m/>
    <n v="1578.18"/>
  </r>
  <r>
    <x v="10"/>
    <d v="2022-11-19T00:00:00"/>
    <d v="2022-11-23T00:00:00"/>
    <x v="1"/>
    <x v="2"/>
    <n v="136.19999999999999"/>
    <n v="95.2"/>
    <n v="48"/>
    <n v="425.39"/>
    <m/>
    <n v="615.42999999999995"/>
    <n v="220.61"/>
    <m/>
    <m/>
    <n v="1540.83"/>
  </r>
  <r>
    <x v="5"/>
    <d v="2022-11-18T00:00:00"/>
    <d v="2022-11-25T00:00:00"/>
    <x v="1"/>
    <x v="5"/>
    <m/>
    <m/>
    <m/>
    <n v="397.13"/>
    <n v="217"/>
    <n v="993.57"/>
    <n v="420.18"/>
    <m/>
    <m/>
    <n v="2027.88"/>
  </r>
  <r>
    <x v="0"/>
    <d v="2022-11-26T00:00:00"/>
    <d v="2022-11-28T00:00:00"/>
    <x v="1"/>
    <x v="0"/>
    <n v="68.099999999999994"/>
    <n v="133.44999999999999"/>
    <n v="24"/>
    <m/>
    <m/>
    <n v="285.54000000000002"/>
    <n v="68.64"/>
    <m/>
    <m/>
    <n v="579.73"/>
  </r>
  <r>
    <x v="3"/>
    <d v="2022-11-25T00:00:00"/>
    <d v="2022-11-30T00:00:00"/>
    <x v="1"/>
    <x v="3"/>
    <n v="170.25"/>
    <n v="143.65"/>
    <n v="85"/>
    <n v="450.4"/>
    <m/>
    <n v="729.33"/>
    <n v="170.4"/>
    <m/>
    <m/>
    <n v="1749.03"/>
  </r>
  <r>
    <x v="7"/>
    <d v="2022-11-29T00:00:00"/>
    <d v="2022-11-30T00:00:00"/>
    <x v="1"/>
    <x v="6"/>
    <m/>
    <m/>
    <m/>
    <n v="799.93"/>
    <m/>
    <n v="134.18"/>
    <n v="54.25"/>
    <m/>
    <m/>
    <n v="988.36"/>
  </r>
  <r>
    <x v="2"/>
    <d v="2022-11-28T00:00:00"/>
    <d v="2022-12-01T00:00:00"/>
    <x v="1"/>
    <x v="1"/>
    <n v="102.15"/>
    <n v="125.8"/>
    <n v="51"/>
    <n v="547.70000000000005"/>
    <m/>
    <n v="308.77999999999997"/>
    <n v="150.18"/>
    <n v="378"/>
    <n v="25.42"/>
    <n v="1689.03"/>
  </r>
  <r>
    <x v="9"/>
    <d v="2022-11-28T00:00:00"/>
    <d v="2022-12-04T00:00:00"/>
    <x v="1"/>
    <x v="4"/>
    <n v="204.3"/>
    <n v="92.65"/>
    <n v="120"/>
    <m/>
    <m/>
    <n v="917.83"/>
    <n v="330.57"/>
    <m/>
    <m/>
    <n v="1665.35"/>
  </r>
  <r>
    <x v="0"/>
    <d v="2022-12-02T00:00:00"/>
    <d v="2022-12-04T00:00:00"/>
    <x v="2"/>
    <x v="0"/>
    <m/>
    <m/>
    <m/>
    <n v="657.54"/>
    <n v="40"/>
    <n v="273.89999999999998"/>
    <n v="114.7"/>
    <m/>
    <n v="38.200000000000003"/>
    <n v="1124.3399999999999"/>
  </r>
  <r>
    <x v="4"/>
    <d v="2022-12-03T00:00:00"/>
    <d v="2022-12-05T00:00:00"/>
    <x v="2"/>
    <x v="0"/>
    <m/>
    <m/>
    <m/>
    <n v="679.76"/>
    <n v="48"/>
    <n v="295.23"/>
    <n v="70.87"/>
    <m/>
    <m/>
    <n v="1093.8599999999999"/>
  </r>
  <r>
    <x v="12"/>
    <d v="2022-12-01T00:00:00"/>
    <d v="2022-12-05T00:00:00"/>
    <x v="2"/>
    <x v="2"/>
    <n v="136.19999999999999"/>
    <n v="144.5"/>
    <n v="60"/>
    <n v="444.84"/>
    <m/>
    <n v="527.16999999999996"/>
    <n v="124.22"/>
    <n v="91"/>
    <m/>
    <n v="1527.93"/>
  </r>
  <r>
    <x v="3"/>
    <d v="2022-12-03T00:00:00"/>
    <d v="2022-12-06T00:00:00"/>
    <x v="2"/>
    <x v="1"/>
    <m/>
    <m/>
    <m/>
    <n v="416.65"/>
    <n v="51"/>
    <n v="416.16"/>
    <n v="120.55"/>
    <n v="144"/>
    <m/>
    <n v="1148.3599999999999"/>
  </r>
  <r>
    <x v="14"/>
    <d v="2022-12-03T00:00:00"/>
    <d v="2022-12-06T00:00:00"/>
    <x v="2"/>
    <x v="1"/>
    <n v="102.15"/>
    <n v="142.80000000000001"/>
    <n v="42"/>
    <n v="248.71"/>
    <m/>
    <n v="413.81"/>
    <n v="114.22"/>
    <m/>
    <m/>
    <n v="1063.69"/>
  </r>
  <r>
    <x v="15"/>
    <d v="2022-12-03T00:00:00"/>
    <d v="2022-12-07T00:00:00"/>
    <x v="2"/>
    <x v="2"/>
    <m/>
    <m/>
    <m/>
    <n v="758.68"/>
    <n v="60"/>
    <n v="551.89"/>
    <n v="144.25"/>
    <m/>
    <m/>
    <n v="1514.82"/>
  </r>
  <r>
    <x v="8"/>
    <d v="2022-12-04T00:00:00"/>
    <d v="2022-12-08T00:00:00"/>
    <x v="2"/>
    <x v="2"/>
    <m/>
    <m/>
    <m/>
    <n v="722.9"/>
    <m/>
    <n v="555.86"/>
    <n v="216.65"/>
    <m/>
    <m/>
    <n v="1495.41"/>
  </r>
  <r>
    <x v="6"/>
    <d v="2022-12-04T00:00:00"/>
    <d v="2022-12-08T00:00:00"/>
    <x v="2"/>
    <x v="2"/>
    <n v="136.19999999999999"/>
    <n v="147.9"/>
    <n v="60"/>
    <n v="310.8"/>
    <m/>
    <n v="643.16"/>
    <n v="200.12"/>
    <m/>
    <m/>
    <n v="1498.18"/>
  </r>
  <r>
    <x v="11"/>
    <d v="2022-12-05T00:00:00"/>
    <d v="2022-12-11T00:00:00"/>
    <x v="2"/>
    <x v="4"/>
    <n v="204.3"/>
    <n v="121.55"/>
    <n v="84"/>
    <n v="760.62"/>
    <m/>
    <n v="947.35"/>
    <n v="276.64999999999998"/>
    <m/>
    <m/>
    <n v="2394.4699999999998"/>
  </r>
  <r>
    <x v="10"/>
    <d v="2022-12-09T00:00:00"/>
    <d v="2022-12-11T00:00:00"/>
    <x v="2"/>
    <x v="0"/>
    <n v="68.099999999999994"/>
    <n v="45.05"/>
    <n v="28"/>
    <n v="465.9"/>
    <m/>
    <n v="257.67"/>
    <n v="102.77"/>
    <m/>
    <m/>
    <n v="967.49"/>
  </r>
  <r>
    <x v="14"/>
    <d v="2022-12-08T00:00:00"/>
    <d v="2022-12-15T00:00:00"/>
    <x v="2"/>
    <x v="5"/>
    <n v="238.35"/>
    <n v="85.85"/>
    <n v="105"/>
    <n v="575.54999999999995"/>
    <m/>
    <n v="951.4"/>
    <n v="210.8"/>
    <m/>
    <n v="44.6"/>
    <n v="2211.5500000000002"/>
  </r>
  <r>
    <x v="7"/>
    <d v="2022-12-12T00:00:00"/>
    <d v="2022-12-16T00:00:00"/>
    <x v="2"/>
    <x v="2"/>
    <n v="136.19999999999999"/>
    <n v="90.1"/>
    <n v="60"/>
    <n v="756.2"/>
    <n v="116"/>
    <n v="627.16999999999996"/>
    <n v="172.22"/>
    <m/>
    <m/>
    <n v="1957.89"/>
  </r>
  <r>
    <x v="0"/>
    <d v="2022-12-13T00:00:00"/>
    <d v="2022-12-16T00:00:00"/>
    <x v="2"/>
    <x v="1"/>
    <n v="102.15"/>
    <n v="162.35"/>
    <n v="60"/>
    <m/>
    <n v="36"/>
    <n v="464.35"/>
    <n v="120.92"/>
    <n v="354"/>
    <m/>
    <n v="1299.77"/>
  </r>
  <r>
    <x v="1"/>
    <d v="2022-12-15T00:00:00"/>
    <d v="2022-12-17T00:00:00"/>
    <x v="2"/>
    <x v="0"/>
    <m/>
    <m/>
    <m/>
    <n v="429.6"/>
    <n v="56"/>
    <n v="203.6"/>
    <n v="102.81"/>
    <m/>
    <m/>
    <n v="792.01"/>
  </r>
  <r>
    <x v="13"/>
    <d v="2022-12-11T00:00:00"/>
    <d v="2022-12-17T00:00:00"/>
    <x v="2"/>
    <x v="4"/>
    <n v="204.3"/>
    <n v="85"/>
    <n v="72"/>
    <n v="623.6"/>
    <m/>
    <n v="761.59"/>
    <n v="204.31"/>
    <m/>
    <m/>
    <n v="1950.8"/>
  </r>
  <r>
    <x v="4"/>
    <d v="2022-12-14T00:00:00"/>
    <d v="2022-12-17T00:00:00"/>
    <x v="2"/>
    <x v="1"/>
    <m/>
    <m/>
    <m/>
    <n v="768.59"/>
    <n v="51"/>
    <n v="305.83"/>
    <n v="138.32"/>
    <m/>
    <m/>
    <n v="1263.74"/>
  </r>
  <r>
    <x v="12"/>
    <d v="2022-12-14T00:00:00"/>
    <d v="2022-12-18T00:00:00"/>
    <x v="2"/>
    <x v="2"/>
    <m/>
    <m/>
    <m/>
    <n v="298.13"/>
    <n v="108"/>
    <n v="631.24"/>
    <n v="176.4"/>
    <m/>
    <n v="78.89"/>
    <n v="1292.6600000000001"/>
  </r>
  <r>
    <x v="15"/>
    <d v="2022-12-19T00:00:00"/>
    <d v="2022-12-21T00:00:00"/>
    <x v="2"/>
    <x v="0"/>
    <n v="68.099999999999994"/>
    <n v="148.75"/>
    <n v="28"/>
    <m/>
    <n v="60"/>
    <n v="325.25"/>
    <n v="100.13"/>
    <n v="395"/>
    <m/>
    <n v="1125.23"/>
  </r>
  <r>
    <x v="2"/>
    <d v="2022-12-20T00:00:00"/>
    <d v="2022-12-22T00:00:00"/>
    <x v="2"/>
    <x v="0"/>
    <m/>
    <m/>
    <m/>
    <n v="589.53"/>
    <m/>
    <n v="249.9"/>
    <n v="114.33"/>
    <m/>
    <m/>
    <n v="953.76"/>
  </r>
  <r>
    <x v="3"/>
    <d v="2022-12-21T00:00:00"/>
    <d v="2022-12-23T00:00:00"/>
    <x v="2"/>
    <x v="0"/>
    <m/>
    <m/>
    <m/>
    <n v="461.16"/>
    <m/>
    <n v="239.64"/>
    <n v="68.86"/>
    <m/>
    <m/>
    <n v="769.66"/>
  </r>
  <r>
    <x v="9"/>
    <d v="2022-12-26T00:00:00"/>
    <d v="2022-12-30T00:00:00"/>
    <x v="2"/>
    <x v="2"/>
    <n v="136.19999999999999"/>
    <n v="164.9"/>
    <n v="80"/>
    <m/>
    <n v="92"/>
    <n v="595.83000000000004"/>
    <n v="216.22"/>
    <m/>
    <m/>
    <n v="1285.1500000000001"/>
  </r>
  <r>
    <x v="6"/>
    <d v="2022-12-28T00:00:00"/>
    <d v="2023-01-03T00:00:00"/>
    <x v="2"/>
    <x v="4"/>
    <n v="204.3"/>
    <n v="158.1"/>
    <n v="72"/>
    <n v="529.32000000000005"/>
    <m/>
    <n v="917.83"/>
    <n v="264.8"/>
    <m/>
    <m/>
    <n v="2146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20C9C-60F4-4294-B8BD-E3C9320E993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15">
    <pivotField showAll="0"/>
    <pivotField numFmtId="164" showAll="0"/>
    <pivotField numFmtId="164" showAll="0"/>
    <pivotField showAll="0"/>
    <pivotField axis="axisRow" dataField="1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ays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5B17C-5867-4297-AE04-4645D5B4052A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D10" firstHeaderRow="1" firstDataRow="1" firstDataCol="1"/>
  <pivotFields count="15">
    <pivotField showAll="0"/>
    <pivotField numFmtId="164"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ar Renta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D52C2-AF6B-48B5-A712-DD71DFE4CA4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22" firstHeaderRow="1" firstDataRow="1" firstDataCol="1"/>
  <pivotFields count="15">
    <pivotField axis="axisRow" showAll="0">
      <items count="17">
        <item x="3"/>
        <item x="14"/>
        <item x="15"/>
        <item x="5"/>
        <item x="7"/>
        <item x="9"/>
        <item x="11"/>
        <item x="13"/>
        <item x="1"/>
        <item x="8"/>
        <item x="10"/>
        <item x="2"/>
        <item x="0"/>
        <item x="4"/>
        <item x="12"/>
        <item x="6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dataField="1" numFmtId="165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27E4-55C5-449C-BBFB-74D04A466D23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G24" firstHeaderRow="1" firstDataRow="2" firstDataCol="1"/>
  <pivotFields count="15">
    <pivotField axis="axisRow" showAll="0">
      <items count="17">
        <item x="3"/>
        <item x="14"/>
        <item x="15"/>
        <item x="5"/>
        <item x="7"/>
        <item x="9"/>
        <item x="11"/>
        <item x="13"/>
        <item x="1"/>
        <item x="8"/>
        <item x="10"/>
        <item x="2"/>
        <item x="0"/>
        <item x="4"/>
        <item x="12"/>
        <item x="6"/>
        <item t="default"/>
      </items>
    </pivotField>
    <pivotField numFmtId="164" showAll="0"/>
    <pivotField numFmtId="164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dataField="1" numFmtId="165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77213-4BFF-41B7-B41D-A6D48A165E22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D24" firstHeaderRow="1" firstDataRow="1" firstDataCol="1" rowPageCount="1" colPageCount="1"/>
  <pivotFields count="15">
    <pivotField axis="axisRow" showAll="0">
      <items count="17">
        <item x="3"/>
        <item x="14"/>
        <item x="15"/>
        <item x="5"/>
        <item x="7"/>
        <item x="9"/>
        <item x="11"/>
        <item x="13"/>
        <item x="1"/>
        <item x="8"/>
        <item x="10"/>
        <item x="2"/>
        <item x="0"/>
        <item x="4"/>
        <item x="12"/>
        <item x="6"/>
        <item t="default"/>
      </items>
    </pivotField>
    <pivotField numFmtId="164" showAll="0"/>
    <pivotField numFmtId="164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showAll="0"/>
    <pivotField showAll="0"/>
    <pivotField numFmtId="165" showAll="0"/>
  </pivotFields>
  <rowFields count="1">
    <field x="0"/>
  </rowFields>
  <rowItems count="1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item="2" hier="-1"/>
  </pageFields>
  <dataFields count="1">
    <dataField name="Sum of Hotels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E536D-5465-40FF-9649-4A2073447DF1}" autoFormatId="16" applyNumberFormats="0" applyBorderFormats="0" applyFontFormats="0" applyPatternFormats="0" applyAlignmentFormats="0" applyWidthHeightFormats="0">
  <queryTableRefresh nextId="46">
    <queryTableFields count="44">
      <queryTableField id="1" name="player_id" tableColumnId="1"/>
      <queryTableField id="2" name="player_name" tableColumnId="2"/>
      <queryTableField id="3" name="player_display_name" tableColumnId="3"/>
      <queryTableField id="4" name="position" tableColumnId="4"/>
      <queryTableField id="6" name="season" tableColumnId="6"/>
      <queryTableField id="7" name="week" tableColumnId="7"/>
      <queryTableField id="8" name="season_type" tableColumnId="8"/>
      <queryTableField id="9" name="game_id" tableColumnId="9"/>
      <queryTableField id="10" name="team" tableColumnId="10"/>
      <queryTableField id="11" name="opponent_team" tableColumnId="11"/>
      <queryTableField id="12" name="completions" tableColumnId="12"/>
      <queryTableField id="13" name="attempts" tableColumnId="13"/>
      <queryTableField id="14" name="passing_yards" tableColumnId="14"/>
      <queryTableField id="15" name="passing_tds" tableColumnId="15"/>
      <queryTableField id="16" name="passing_interceptions" tableColumnId="16"/>
      <queryTableField id="17" name="sacks_suffered" tableColumnId="17"/>
      <queryTableField id="18" name="sack_yards_lost" tableColumnId="18"/>
      <queryTableField id="19" name="sack_fumbles" tableColumnId="19"/>
      <queryTableField id="20" name="sack_fumbles_lost" tableColumnId="20"/>
      <queryTableField id="21" name="passing_air_yards" tableColumnId="21"/>
      <queryTableField id="22" name="passing_yards_after_catch" tableColumnId="22"/>
      <queryTableField id="23" name="passing_first_downs" tableColumnId="23"/>
      <queryTableField id="24" name="passing_epa" tableColumnId="24"/>
      <queryTableField id="25" name="passing_cpoe" tableColumnId="25"/>
      <queryTableField id="26" name="passing_2pt_conversions" tableColumnId="26"/>
      <queryTableField id="27" name="pacr" tableColumnId="27"/>
      <queryTableField id="28" name="passing_10" tableColumnId="28"/>
      <queryTableField id="29" name="passing_16" tableColumnId="29"/>
      <queryTableField id="30" name="passing_20" tableColumnId="30"/>
      <queryTableField id="31" name="passing_40" tableColumnId="31"/>
      <queryTableField id="32" name="carries" tableColumnId="32"/>
      <queryTableField id="33" name="rushing_yards" tableColumnId="33"/>
      <queryTableField id="34" name="rushing_tds" tableColumnId="34"/>
      <queryTableField id="35" name="rushing_fumbles" tableColumnId="35"/>
      <queryTableField id="36" name="rushing_fumbles_lost" tableColumnId="36"/>
      <queryTableField id="37" name="rushing_first_downs" tableColumnId="37"/>
      <queryTableField id="38" name="rushing_epa" tableColumnId="38"/>
      <queryTableField id="39" name="rushing_2pt_conversions" tableColumnId="39"/>
      <queryTableField id="40" name="rushing_10" tableColumnId="40"/>
      <queryTableField id="41" name="rushing_12" tableColumnId="41"/>
      <queryTableField id="42" name="rushing_20" tableColumnId="42"/>
      <queryTableField id="43" name="rushing_40" tableColumnId="43"/>
      <queryTableField id="44" name="fantasy_points" tableColumnId="44"/>
      <queryTableField id="45" name="fantasy_points_ppr" tableColumnId="45"/>
    </queryTableFields>
    <queryTableDeletedFields count="1">
      <deletedField name="headshot_ur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1EF5C-A8A1-4B04-988D-1E4B0FD53D35}" name="QB_Stats" displayName="QB_Stats" ref="A1:AR36" tableType="queryTable" totalsRowShown="0">
  <autoFilter ref="A1:AR36" xr:uid="{8231EF5C-A8A1-4B04-988D-1E4B0FD53D35}"/>
  <sortState xmlns:xlrd2="http://schemas.microsoft.com/office/spreadsheetml/2017/richdata2" ref="A2:AR36">
    <sortCondition descending="1" ref="M1:M36"/>
  </sortState>
  <tableColumns count="44">
    <tableColumn id="1" xr3:uid="{42C954BA-26BF-4A47-A2B3-017F6F4D2105}" uniqueName="1" name="player_id" queryTableFieldId="1" dataDxfId="39"/>
    <tableColumn id="2" xr3:uid="{5400DA00-3F23-468D-B28C-2F9EAEB108AB}" uniqueName="2" name="player_name" queryTableFieldId="2" dataDxfId="38"/>
    <tableColumn id="3" xr3:uid="{BCB09D41-5630-4A94-A033-F3C462637496}" uniqueName="3" name="player_display_name" queryTableFieldId="3" dataDxfId="37"/>
    <tableColumn id="4" xr3:uid="{509A556A-B884-4FC7-896A-FB6754C003AF}" uniqueName="4" name="position" queryTableFieldId="4" dataDxfId="36"/>
    <tableColumn id="6" xr3:uid="{3136B3E0-379C-4747-B2D0-14FB8FFAD416}" uniqueName="6" name="season" queryTableFieldId="6"/>
    <tableColumn id="7" xr3:uid="{27B87CDD-59B2-4E32-AA89-8835C1FD1F6C}" uniqueName="7" name="week" queryTableFieldId="7"/>
    <tableColumn id="8" xr3:uid="{D7889438-E22D-4B9C-BDCE-68A79F226DD1}" uniqueName="8" name="season_type" queryTableFieldId="8" dataDxfId="35"/>
    <tableColumn id="9" xr3:uid="{12783783-6DC8-414F-88DB-7F27021F269F}" uniqueName="9" name="game_id" queryTableFieldId="9" dataDxfId="34"/>
    <tableColumn id="10" xr3:uid="{6158B795-801D-47E6-8B79-D7E252CBEC96}" uniqueName="10" name="team" queryTableFieldId="10" dataDxfId="33"/>
    <tableColumn id="11" xr3:uid="{DE6D0AEF-8563-41A7-8F45-59BDFC5AB6E9}" uniqueName="11" name="opponent_team" queryTableFieldId="11" dataDxfId="32"/>
    <tableColumn id="12" xr3:uid="{E27413E5-709D-4AFD-A7A6-7ED4B68A25A5}" uniqueName="12" name="completions" queryTableFieldId="12"/>
    <tableColumn id="13" xr3:uid="{0D79ECBF-2198-40DF-A906-A25052198924}" uniqueName="13" name="attempts" queryTableFieldId="13"/>
    <tableColumn id="14" xr3:uid="{8C0708D2-E877-4622-9AE0-EF1D17F7DC60}" uniqueName="14" name="passing_yards" queryTableFieldId="14"/>
    <tableColumn id="15" xr3:uid="{2DCBA0E6-3D85-4117-8E7A-8AE827FA45CD}" uniqueName="15" name="passing_tds" queryTableFieldId="15"/>
    <tableColumn id="16" xr3:uid="{3D93D50E-00A7-4FA6-B37C-8DFF8F881E6D}" uniqueName="16" name="passing_interceptions" queryTableFieldId="16"/>
    <tableColumn id="17" xr3:uid="{66E7C893-3CE5-4A15-B8B0-A601FA73C466}" uniqueName="17" name="sacks_suffered" queryTableFieldId="17"/>
    <tableColumn id="18" xr3:uid="{255AF838-9C7E-4E89-856E-B71792A05CFA}" uniqueName="18" name="sack_yards_lost" queryTableFieldId="18"/>
    <tableColumn id="19" xr3:uid="{DFDDF623-692C-495C-BB5B-BD56C4F8D21D}" uniqueName="19" name="sack_fumbles" queryTableFieldId="19"/>
    <tableColumn id="20" xr3:uid="{E72B6B63-FA08-4FA5-AC2C-C99D4320568E}" uniqueName="20" name="sack_fumbles_lost" queryTableFieldId="20"/>
    <tableColumn id="21" xr3:uid="{6FED09B9-458E-4596-BE3A-79EAB6F50B0F}" uniqueName="21" name="passing_air_yards" queryTableFieldId="21"/>
    <tableColumn id="22" xr3:uid="{8016FF66-AD68-4A8B-BFEE-26C203D6D6B2}" uniqueName="22" name="passing_yards_after_catch" queryTableFieldId="22"/>
    <tableColumn id="23" xr3:uid="{FF7776CA-9FE5-49B6-9A8A-6811A3A53A2E}" uniqueName="23" name="passing_first_downs" queryTableFieldId="23"/>
    <tableColumn id="24" xr3:uid="{64234924-B8E8-4BDE-874B-73C601993639}" uniqueName="24" name="passing_epa" queryTableFieldId="24"/>
    <tableColumn id="25" xr3:uid="{9C4BACC3-1E8C-4498-A3F9-0039A455CC9A}" uniqueName="25" name="passing_cpoe" queryTableFieldId="25"/>
    <tableColumn id="26" xr3:uid="{3BCE812E-D735-4183-B7E8-B25C900B9B43}" uniqueName="26" name="passing_2pt_conversions" queryTableFieldId="26"/>
    <tableColumn id="27" xr3:uid="{0DE1BB8F-051D-4C37-A185-3D6B01A46A45}" uniqueName="27" name="pacr" queryTableFieldId="27"/>
    <tableColumn id="28" xr3:uid="{D0E70E60-5528-4782-AB16-A46361B193D7}" uniqueName="28" name="passing_10" queryTableFieldId="28"/>
    <tableColumn id="29" xr3:uid="{78BD186E-9DD3-4EA4-8186-CD338DFBBC70}" uniqueName="29" name="passing_16" queryTableFieldId="29"/>
    <tableColumn id="30" xr3:uid="{72A4B8B0-04C1-4DC2-A047-E50CB1B00FEA}" uniqueName="30" name="passing_20" queryTableFieldId="30"/>
    <tableColumn id="31" xr3:uid="{5E902899-238F-4CAB-BF6C-877B506729F6}" uniqueName="31" name="passing_40" queryTableFieldId="31"/>
    <tableColumn id="32" xr3:uid="{9B73D788-DB63-4B3D-B5D3-1BEF4D6F75E0}" uniqueName="32" name="carries" queryTableFieldId="32"/>
    <tableColumn id="33" xr3:uid="{8AF05C40-E5AA-4F91-9316-226F5CC47D98}" uniqueName="33" name="rushing_yards" queryTableFieldId="33"/>
    <tableColumn id="34" xr3:uid="{D74690BA-8857-47BD-B13D-5E89D1A029BD}" uniqueName="34" name="rushing_tds" queryTableFieldId="34"/>
    <tableColumn id="35" xr3:uid="{BFF91129-64C4-477E-95E3-E599242CB912}" uniqueName="35" name="rushing_fumbles" queryTableFieldId="35"/>
    <tableColumn id="36" xr3:uid="{2435085A-8297-47FA-A2DC-BBC33A33FBBF}" uniqueName="36" name="rushing_fumbles_lost" queryTableFieldId="36"/>
    <tableColumn id="37" xr3:uid="{802ED7FE-DC0B-4FBB-A48F-75D836E1B2B1}" uniqueName="37" name="rushing_first_downs" queryTableFieldId="37"/>
    <tableColumn id="38" xr3:uid="{837A400A-A057-46D4-B69C-0B08A1336BD1}" uniqueName="38" name="rushing_epa" queryTableFieldId="38"/>
    <tableColumn id="39" xr3:uid="{0332C081-A18C-4BA9-96C4-546C70F301AA}" uniqueName="39" name="rushing_2pt_conversions" queryTableFieldId="39"/>
    <tableColumn id="40" xr3:uid="{28FD143A-DF29-4167-B276-127B3F3DBAD6}" uniqueName="40" name="rushing_10" queryTableFieldId="40"/>
    <tableColumn id="41" xr3:uid="{7C309AC7-DA37-4601-BE94-8EAB0113A6C1}" uniqueName="41" name="rushing_12" queryTableFieldId="41"/>
    <tableColumn id="42" xr3:uid="{C8759777-2025-49F6-A42B-C0905A864F2B}" uniqueName="42" name="rushing_20" queryTableFieldId="42"/>
    <tableColumn id="43" xr3:uid="{9CC7B33D-943B-4DBE-87D8-0314023E223E}" uniqueName="43" name="rushing_40" queryTableFieldId="43"/>
    <tableColumn id="44" xr3:uid="{1117F6B8-A711-480D-A85B-DEE6F093DCCE}" uniqueName="44" name="fantasy_points" queryTableFieldId="44"/>
    <tableColumn id="45" xr3:uid="{C88446B5-23A0-45BD-9264-546C3932A10E}" uniqueName="45" name="fantasy_points_ppr" queryTableField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381A38-0CA2-498E-BE38-39350C47E7F0}" name="Table2" displayName="Table2" ref="B2:P23" totalsRowCount="1" headerRowDxfId="31" dataDxfId="30">
  <autoFilter ref="B2:P22" xr:uid="{4D381A38-0CA2-498E-BE38-39350C47E7F0}">
    <filterColumn colId="3">
      <filters>
        <filter val="6"/>
        <filter val="7"/>
      </filters>
    </filterColumn>
  </autoFilter>
  <sortState xmlns:xlrd2="http://schemas.microsoft.com/office/spreadsheetml/2017/richdata2" ref="B3:P22">
    <sortCondition ref="D2:D22"/>
  </sortState>
  <tableColumns count="15">
    <tableColumn id="1" xr3:uid="{5EF0578F-DA3B-4C97-A042-888961EA3543}" name="Employee" totalsRowLabel="Total" dataDxfId="29" totalsRowDxfId="28"/>
    <tableColumn id="2" xr3:uid="{DFC0625C-6E50-4551-9F15-F2C773063B05}" name="Start Date" dataDxfId="27" totalsRowDxfId="26"/>
    <tableColumn id="3" xr3:uid="{7F18E4A0-516E-4830-B2A2-2998365AC019}" name="End Date" dataDxfId="25" totalsRowDxfId="24"/>
    <tableColumn id="4" xr3:uid="{47E99D1D-1FF5-4C3F-9864-66D818E9611C}" name="Days" dataDxfId="23" totalsRowDxfId="22"/>
    <tableColumn id="5" xr3:uid="{CF383AD2-DB7F-40CD-BB0D-1855DCF2567F}" name="Car Rentals" dataDxfId="21" totalsRowDxfId="20"/>
    <tableColumn id="6" xr3:uid="{4B48C1EF-EFAD-41A2-9D08-D9A18ABBA943}" name="Gas" dataDxfId="19" totalsRowDxfId="18"/>
    <tableColumn id="7" xr3:uid="{17D50F93-7564-4157-88D9-ED761AD7424A}" name="Parking Fees" dataDxfId="17" totalsRowDxfId="16"/>
    <tableColumn id="8" xr3:uid="{D5BF04BE-FC82-4DD2-BE3C-FBFB7129AE4C}" name="Flights" totalsRowFunction="sum" dataDxfId="15" totalsRowDxfId="14"/>
    <tableColumn id="9" xr3:uid="{E6D665EC-E62B-4D47-AC69-E73900450AFE}" name="Rideshares" dataDxfId="13" totalsRowDxfId="12"/>
    <tableColumn id="10" xr3:uid="{F86633AD-81AB-48E8-910F-E8150782271E}" name="Hotels" totalsRowFunction="average" dataDxfId="11" totalsRowDxfId="10"/>
    <tableColumn id="11" xr3:uid="{961212D4-374C-416A-8A59-FABC46AF6AEA}" name="Food and Drinks" dataDxfId="9" totalsRowDxfId="8"/>
    <tableColumn id="12" xr3:uid="{5B4D3E91-C2AE-4F40-A8A1-45F20D853434}" name="Conference Fees" dataDxfId="7" totalsRowDxfId="6"/>
    <tableColumn id="13" xr3:uid="{17DFF3A0-F3F1-4891-9315-7F04B1B0F6B7}" name="Other" dataDxfId="5" totalsRowDxfId="4"/>
    <tableColumn id="14" xr3:uid="{9F764786-F736-4124-B6EA-55A258B5F3BF}" name="Total" totalsRowFunction="sum" dataDxfId="3" totalsRowDxfId="2"/>
    <tableColumn id="15" xr3:uid="{C7B4E279-4F01-499C-8D3A-0A30E6F8FC8C}" name="Daily Average" dataDxfId="1" totalsRowDxfId="0">
      <calculatedColumnFormula>Table2[[#This Row],[Total]]/Table2[[#This Row],[Days]]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4C4FC8-0099-4D93-AC97-046A6E0561EC}">
  <we:reference id="wa200000046" version="1.3.0.0" store="en-US" storeType="OMEX"/>
  <we:alternateReferences>
    <we:reference id="wa200000046" version="1.3.0.0" store="wa20000004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0185-8078-4499-84B4-3B7D182F92A6}">
  <dimension ref="A1:AR36"/>
  <sheetViews>
    <sheetView workbookViewId="0">
      <selection activeCell="C3" sqref="C3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20.90625" bestFit="1" customWidth="1"/>
    <col min="4" max="4" width="9.90625" bestFit="1" customWidth="1"/>
    <col min="5" max="5" width="9" bestFit="1" customWidth="1"/>
    <col min="6" max="6" width="7.453125" bestFit="1" customWidth="1"/>
    <col min="7" max="7" width="13.453125" bestFit="1" customWidth="1"/>
    <col min="8" max="8" width="16.6328125" bestFit="1" customWidth="1"/>
    <col min="9" max="9" width="7.36328125" bestFit="1" customWidth="1"/>
    <col min="10" max="10" width="16.26953125" bestFit="1" customWidth="1"/>
    <col min="11" max="11" width="13.54296875" bestFit="1" customWidth="1"/>
    <col min="12" max="12" width="10.6328125" bestFit="1" customWidth="1"/>
    <col min="13" max="13" width="14.90625" bestFit="1" customWidth="1"/>
    <col min="14" max="14" width="13" bestFit="1" customWidth="1"/>
    <col min="15" max="15" width="21.7265625" bestFit="1" customWidth="1"/>
    <col min="16" max="16" width="15.81640625" bestFit="1" customWidth="1"/>
    <col min="17" max="17" width="16.36328125" bestFit="1" customWidth="1"/>
    <col min="18" max="18" width="14.7265625" bestFit="1" customWidth="1"/>
    <col min="19" max="19" width="18.7265625" bestFit="1" customWidth="1"/>
    <col min="20" max="20" width="18" bestFit="1" customWidth="1"/>
    <col min="21" max="21" width="25.453125" bestFit="1" customWidth="1"/>
    <col min="22" max="22" width="20.1796875" bestFit="1" customWidth="1"/>
    <col min="23" max="23" width="13.453125" bestFit="1" customWidth="1"/>
    <col min="24" max="24" width="14.453125" bestFit="1" customWidth="1"/>
    <col min="25" max="25" width="24.26953125" bestFit="1" customWidth="1"/>
    <col min="26" max="26" width="11.81640625" bestFit="1" customWidth="1"/>
    <col min="27" max="30" width="12.36328125" bestFit="1" customWidth="1"/>
    <col min="31" max="31" width="8.81640625" bestFit="1" customWidth="1"/>
    <col min="32" max="32" width="14.7265625" bestFit="1" customWidth="1"/>
    <col min="33" max="33" width="12.81640625" bestFit="1" customWidth="1"/>
    <col min="34" max="34" width="17.1796875" bestFit="1" customWidth="1"/>
    <col min="35" max="35" width="21.1796875" bestFit="1" customWidth="1"/>
    <col min="36" max="36" width="20" bestFit="1" customWidth="1"/>
    <col min="37" max="37" width="13.26953125" bestFit="1" customWidth="1"/>
    <col min="38" max="38" width="24.08984375" bestFit="1" customWidth="1"/>
    <col min="39" max="42" width="12.1796875" bestFit="1" customWidth="1"/>
    <col min="43" max="43" width="15.453125" bestFit="1" customWidth="1"/>
    <col min="44" max="44" width="19.089843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193</v>
      </c>
      <c r="B2" t="s">
        <v>194</v>
      </c>
      <c r="C2" t="s">
        <v>195</v>
      </c>
      <c r="D2" t="s">
        <v>47</v>
      </c>
      <c r="E2">
        <v>2026</v>
      </c>
      <c r="F2">
        <v>1</v>
      </c>
      <c r="G2" t="s">
        <v>48</v>
      </c>
      <c r="H2" t="s">
        <v>109</v>
      </c>
      <c r="I2" t="s">
        <v>111</v>
      </c>
      <c r="J2" t="s">
        <v>110</v>
      </c>
      <c r="K2">
        <v>35</v>
      </c>
      <c r="L2">
        <v>56</v>
      </c>
      <c r="M2">
        <v>410</v>
      </c>
      <c r="N2">
        <v>3</v>
      </c>
      <c r="O2">
        <v>2</v>
      </c>
      <c r="P2">
        <v>5</v>
      </c>
      <c r="Q2">
        <v>-32</v>
      </c>
      <c r="R2">
        <v>1</v>
      </c>
      <c r="S2">
        <v>1</v>
      </c>
      <c r="T2">
        <v>483</v>
      </c>
      <c r="U2">
        <v>116</v>
      </c>
      <c r="V2">
        <v>19</v>
      </c>
      <c r="W2">
        <v>-1.00732027256654</v>
      </c>
      <c r="X2">
        <v>-1.20560446610818</v>
      </c>
      <c r="Y2">
        <v>0</v>
      </c>
      <c r="Z2">
        <v>0.84886128364389202</v>
      </c>
      <c r="AA2">
        <v>14</v>
      </c>
      <c r="AB2">
        <v>9</v>
      </c>
      <c r="AC2">
        <v>6</v>
      </c>
      <c r="AD2">
        <v>2</v>
      </c>
      <c r="AE2">
        <v>4</v>
      </c>
      <c r="AF2">
        <v>8</v>
      </c>
      <c r="AG2">
        <v>0</v>
      </c>
      <c r="AH2">
        <v>1</v>
      </c>
      <c r="AI2">
        <v>0</v>
      </c>
      <c r="AJ2">
        <v>1</v>
      </c>
      <c r="AK2">
        <v>-1.1607644535834001</v>
      </c>
      <c r="AL2">
        <v>0</v>
      </c>
      <c r="AM2">
        <v>0</v>
      </c>
      <c r="AN2">
        <v>0</v>
      </c>
      <c r="AO2">
        <v>0</v>
      </c>
      <c r="AP2">
        <v>0</v>
      </c>
      <c r="AQ2">
        <v>23.2</v>
      </c>
      <c r="AR2">
        <v>23.2</v>
      </c>
    </row>
    <row r="3" spans="1:44" x14ac:dyDescent="0.35">
      <c r="A3" t="s">
        <v>147</v>
      </c>
      <c r="B3" t="s">
        <v>137</v>
      </c>
      <c r="C3" t="s">
        <v>148</v>
      </c>
      <c r="D3" t="s">
        <v>47</v>
      </c>
      <c r="E3">
        <v>2026</v>
      </c>
      <c r="F3">
        <v>1</v>
      </c>
      <c r="G3" t="s">
        <v>48</v>
      </c>
      <c r="H3" t="s">
        <v>67</v>
      </c>
      <c r="I3" t="s">
        <v>69</v>
      </c>
      <c r="J3" t="s">
        <v>68</v>
      </c>
      <c r="K3">
        <v>21</v>
      </c>
      <c r="L3">
        <v>42</v>
      </c>
      <c r="M3">
        <v>387</v>
      </c>
      <c r="N3">
        <v>2</v>
      </c>
      <c r="O3">
        <v>1</v>
      </c>
      <c r="P3">
        <v>4</v>
      </c>
      <c r="Q3">
        <v>-34</v>
      </c>
      <c r="R3">
        <v>2</v>
      </c>
      <c r="S3">
        <v>1</v>
      </c>
      <c r="T3">
        <v>469</v>
      </c>
      <c r="U3">
        <v>160</v>
      </c>
      <c r="V3">
        <v>16</v>
      </c>
      <c r="W3">
        <v>-2.70364609367362</v>
      </c>
      <c r="X3">
        <v>-9.6540544927120209</v>
      </c>
      <c r="Y3">
        <v>0</v>
      </c>
      <c r="Z3">
        <v>0.825159914712154</v>
      </c>
      <c r="AA3">
        <v>12</v>
      </c>
      <c r="AB3">
        <v>8</v>
      </c>
      <c r="AC3">
        <v>7</v>
      </c>
      <c r="AD3">
        <v>3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-4.3518044393276796</v>
      </c>
      <c r="AL3">
        <v>0</v>
      </c>
      <c r="AM3">
        <v>0</v>
      </c>
      <c r="AN3">
        <v>0</v>
      </c>
      <c r="AO3">
        <v>0</v>
      </c>
      <c r="AP3">
        <v>0</v>
      </c>
      <c r="AQ3">
        <v>19.48</v>
      </c>
      <c r="AR3">
        <v>19.48</v>
      </c>
    </row>
    <row r="4" spans="1:44" x14ac:dyDescent="0.35">
      <c r="A4" t="s">
        <v>174</v>
      </c>
      <c r="B4" t="s">
        <v>170</v>
      </c>
      <c r="C4" t="s">
        <v>175</v>
      </c>
      <c r="D4" t="s">
        <v>47</v>
      </c>
      <c r="E4">
        <v>2026</v>
      </c>
      <c r="F4">
        <v>1</v>
      </c>
      <c r="G4" t="s">
        <v>48</v>
      </c>
      <c r="H4" t="s">
        <v>76</v>
      </c>
      <c r="I4" t="s">
        <v>77</v>
      </c>
      <c r="J4" t="s">
        <v>78</v>
      </c>
      <c r="K4">
        <v>23</v>
      </c>
      <c r="L4">
        <v>37</v>
      </c>
      <c r="M4">
        <v>361</v>
      </c>
      <c r="N4">
        <v>3</v>
      </c>
      <c r="O4">
        <v>1</v>
      </c>
      <c r="P4">
        <v>2</v>
      </c>
      <c r="Q4">
        <v>-8</v>
      </c>
      <c r="R4">
        <v>0</v>
      </c>
      <c r="S4">
        <v>0</v>
      </c>
      <c r="T4">
        <v>363</v>
      </c>
      <c r="U4">
        <v>156</v>
      </c>
      <c r="V4">
        <v>17</v>
      </c>
      <c r="W4">
        <v>15.519763297825801</v>
      </c>
      <c r="X4">
        <v>6.6345853335929599</v>
      </c>
      <c r="Y4">
        <v>0</v>
      </c>
      <c r="Z4">
        <v>0.99449035812672204</v>
      </c>
      <c r="AA4">
        <v>15</v>
      </c>
      <c r="AB4">
        <v>8</v>
      </c>
      <c r="AC4">
        <v>5</v>
      </c>
      <c r="AD4">
        <v>2</v>
      </c>
      <c r="AE4">
        <v>2</v>
      </c>
      <c r="AF4">
        <v>10</v>
      </c>
      <c r="AG4">
        <v>1</v>
      </c>
      <c r="AH4">
        <v>0</v>
      </c>
      <c r="AI4">
        <v>0</v>
      </c>
      <c r="AJ4">
        <v>1</v>
      </c>
      <c r="AK4">
        <v>1.68832572567044</v>
      </c>
      <c r="AL4">
        <v>0</v>
      </c>
      <c r="AM4">
        <v>0</v>
      </c>
      <c r="AN4">
        <v>0</v>
      </c>
      <c r="AO4">
        <v>0</v>
      </c>
      <c r="AP4">
        <v>0</v>
      </c>
      <c r="AQ4">
        <v>31.44</v>
      </c>
      <c r="AR4">
        <v>31.44</v>
      </c>
    </row>
    <row r="5" spans="1:44" x14ac:dyDescent="0.35">
      <c r="A5" t="s">
        <v>132</v>
      </c>
      <c r="B5" t="s">
        <v>118</v>
      </c>
      <c r="C5" t="s">
        <v>133</v>
      </c>
      <c r="D5" t="s">
        <v>47</v>
      </c>
      <c r="E5">
        <v>2026</v>
      </c>
      <c r="F5">
        <v>1</v>
      </c>
      <c r="G5" t="s">
        <v>48</v>
      </c>
      <c r="H5" t="s">
        <v>91</v>
      </c>
      <c r="I5" t="s">
        <v>93</v>
      </c>
      <c r="J5" t="s">
        <v>92</v>
      </c>
      <c r="K5">
        <v>20</v>
      </c>
      <c r="L5">
        <v>29</v>
      </c>
      <c r="M5">
        <v>334</v>
      </c>
      <c r="N5">
        <v>2</v>
      </c>
      <c r="O5">
        <v>0</v>
      </c>
      <c r="P5">
        <v>2</v>
      </c>
      <c r="Q5">
        <v>-11</v>
      </c>
      <c r="R5">
        <v>0</v>
      </c>
      <c r="S5">
        <v>0</v>
      </c>
      <c r="T5">
        <v>383</v>
      </c>
      <c r="U5">
        <v>109</v>
      </c>
      <c r="V5">
        <v>13</v>
      </c>
      <c r="W5">
        <v>14.5350239260416</v>
      </c>
      <c r="X5">
        <v>8.1414852823529902</v>
      </c>
      <c r="Y5">
        <v>0</v>
      </c>
      <c r="Z5">
        <v>0.87206266318537895</v>
      </c>
      <c r="AA5">
        <v>12</v>
      </c>
      <c r="AB5">
        <v>9</v>
      </c>
      <c r="AC5">
        <v>5</v>
      </c>
      <c r="AD5">
        <v>2</v>
      </c>
      <c r="AE5">
        <v>6</v>
      </c>
      <c r="AF5">
        <v>23</v>
      </c>
      <c r="AG5">
        <v>2</v>
      </c>
      <c r="AH5">
        <v>1</v>
      </c>
      <c r="AI5">
        <v>0</v>
      </c>
      <c r="AJ5">
        <v>2</v>
      </c>
      <c r="AK5">
        <v>-2.31320906124893</v>
      </c>
      <c r="AL5">
        <v>0</v>
      </c>
      <c r="AM5">
        <v>1</v>
      </c>
      <c r="AN5">
        <v>1</v>
      </c>
      <c r="AO5">
        <v>1</v>
      </c>
      <c r="AP5">
        <v>0</v>
      </c>
      <c r="AQ5">
        <v>35.659999999999997</v>
      </c>
      <c r="AR5">
        <v>35.659999999999997</v>
      </c>
    </row>
    <row r="6" spans="1:44" x14ac:dyDescent="0.35">
      <c r="A6" t="s">
        <v>126</v>
      </c>
      <c r="B6" t="s">
        <v>127</v>
      </c>
      <c r="C6" t="s">
        <v>128</v>
      </c>
      <c r="D6" t="s">
        <v>47</v>
      </c>
      <c r="E6">
        <v>2026</v>
      </c>
      <c r="F6">
        <v>1</v>
      </c>
      <c r="G6" t="s">
        <v>48</v>
      </c>
      <c r="H6" t="s">
        <v>52</v>
      </c>
      <c r="I6" t="s">
        <v>53</v>
      </c>
      <c r="J6" t="s">
        <v>54</v>
      </c>
      <c r="K6">
        <v>17</v>
      </c>
      <c r="L6">
        <v>25</v>
      </c>
      <c r="M6">
        <v>324</v>
      </c>
      <c r="N6">
        <v>1</v>
      </c>
      <c r="O6">
        <v>0</v>
      </c>
      <c r="P6">
        <v>2</v>
      </c>
      <c r="Q6">
        <v>-20</v>
      </c>
      <c r="R6">
        <v>1</v>
      </c>
      <c r="S6">
        <v>1</v>
      </c>
      <c r="T6">
        <v>269</v>
      </c>
      <c r="U6">
        <v>169</v>
      </c>
      <c r="V6">
        <v>11</v>
      </c>
      <c r="W6">
        <v>10.3436732474516</v>
      </c>
      <c r="X6">
        <v>4.8017402489980103</v>
      </c>
      <c r="Y6">
        <v>0</v>
      </c>
      <c r="Z6">
        <v>1.2044609665427499</v>
      </c>
      <c r="AA6">
        <v>13</v>
      </c>
      <c r="AB6">
        <v>7</v>
      </c>
      <c r="AC6">
        <v>3</v>
      </c>
      <c r="AD6">
        <v>3</v>
      </c>
      <c r="AE6">
        <v>7</v>
      </c>
      <c r="AF6">
        <v>40</v>
      </c>
      <c r="AG6">
        <v>1</v>
      </c>
      <c r="AH6">
        <v>0</v>
      </c>
      <c r="AI6">
        <v>0</v>
      </c>
      <c r="AJ6">
        <v>3</v>
      </c>
      <c r="AK6">
        <v>2.2543068206869101</v>
      </c>
      <c r="AL6">
        <v>0</v>
      </c>
      <c r="AM6">
        <v>2</v>
      </c>
      <c r="AN6">
        <v>2</v>
      </c>
      <c r="AO6">
        <v>0</v>
      </c>
      <c r="AP6">
        <v>0</v>
      </c>
      <c r="AQ6">
        <v>24.96</v>
      </c>
      <c r="AR6">
        <v>24.96</v>
      </c>
    </row>
    <row r="7" spans="1:44" x14ac:dyDescent="0.35">
      <c r="A7" t="s">
        <v>112</v>
      </c>
      <c r="B7" t="s">
        <v>113</v>
      </c>
      <c r="C7" t="s">
        <v>114</v>
      </c>
      <c r="D7" t="s">
        <v>47</v>
      </c>
      <c r="E7">
        <v>2026</v>
      </c>
      <c r="F7">
        <v>1</v>
      </c>
      <c r="G7" t="s">
        <v>48</v>
      </c>
      <c r="H7" t="s">
        <v>82</v>
      </c>
      <c r="I7" t="s">
        <v>84</v>
      </c>
      <c r="J7" t="s">
        <v>83</v>
      </c>
      <c r="K7">
        <v>27</v>
      </c>
      <c r="L7">
        <v>37</v>
      </c>
      <c r="M7">
        <v>277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283</v>
      </c>
      <c r="U7">
        <v>98</v>
      </c>
      <c r="V7">
        <v>15</v>
      </c>
      <c r="W7">
        <v>9.0128646851532395</v>
      </c>
      <c r="X7">
        <v>4.6059030938792898</v>
      </c>
      <c r="Y7">
        <v>0</v>
      </c>
      <c r="Z7">
        <v>0.97879858657243801</v>
      </c>
      <c r="AA7">
        <v>13</v>
      </c>
      <c r="AB7">
        <v>4</v>
      </c>
      <c r="AC7">
        <v>2</v>
      </c>
      <c r="AD7">
        <v>0</v>
      </c>
      <c r="AE7">
        <v>6</v>
      </c>
      <c r="AF7">
        <v>14</v>
      </c>
      <c r="AG7">
        <v>0</v>
      </c>
      <c r="AH7">
        <v>0</v>
      </c>
      <c r="AI7">
        <v>0</v>
      </c>
      <c r="AJ7">
        <v>3</v>
      </c>
      <c r="AK7">
        <v>2.06466043723049</v>
      </c>
      <c r="AL7">
        <v>0</v>
      </c>
      <c r="AM7">
        <v>1</v>
      </c>
      <c r="AN7">
        <v>0</v>
      </c>
      <c r="AO7">
        <v>0</v>
      </c>
      <c r="AP7">
        <v>0</v>
      </c>
      <c r="AQ7">
        <v>16.48</v>
      </c>
      <c r="AR7">
        <v>16.48</v>
      </c>
    </row>
    <row r="8" spans="1:44" x14ac:dyDescent="0.35">
      <c r="A8" t="s">
        <v>176</v>
      </c>
      <c r="B8" t="s">
        <v>177</v>
      </c>
      <c r="C8" t="s">
        <v>178</v>
      </c>
      <c r="D8" t="s">
        <v>47</v>
      </c>
      <c r="E8">
        <v>2026</v>
      </c>
      <c r="F8">
        <v>1</v>
      </c>
      <c r="G8" t="s">
        <v>48</v>
      </c>
      <c r="H8" t="s">
        <v>91</v>
      </c>
      <c r="I8" t="s">
        <v>92</v>
      </c>
      <c r="J8" t="s">
        <v>93</v>
      </c>
      <c r="K8">
        <v>26</v>
      </c>
      <c r="L8">
        <v>38</v>
      </c>
      <c r="M8">
        <v>274</v>
      </c>
      <c r="N8">
        <v>2</v>
      </c>
      <c r="O8">
        <v>0</v>
      </c>
      <c r="P8">
        <v>3</v>
      </c>
      <c r="Q8">
        <v>-17</v>
      </c>
      <c r="R8">
        <v>2</v>
      </c>
      <c r="S8">
        <v>2</v>
      </c>
      <c r="T8">
        <v>322</v>
      </c>
      <c r="U8">
        <v>114</v>
      </c>
      <c r="V8">
        <v>11</v>
      </c>
      <c r="W8">
        <v>1.4964428132799901</v>
      </c>
      <c r="X8">
        <v>3.1616774765220899</v>
      </c>
      <c r="Y8">
        <v>0</v>
      </c>
      <c r="Z8">
        <v>0.85093167701863404</v>
      </c>
      <c r="AA8">
        <v>10</v>
      </c>
      <c r="AB8">
        <v>7</v>
      </c>
      <c r="AC8">
        <v>4</v>
      </c>
      <c r="AD8">
        <v>0</v>
      </c>
      <c r="AE8">
        <v>2</v>
      </c>
      <c r="AF8">
        <v>15</v>
      </c>
      <c r="AG8">
        <v>0</v>
      </c>
      <c r="AH8">
        <v>0</v>
      </c>
      <c r="AI8">
        <v>0</v>
      </c>
      <c r="AJ8">
        <v>1</v>
      </c>
      <c r="AK8">
        <v>1.46244827727787</v>
      </c>
      <c r="AL8">
        <v>0</v>
      </c>
      <c r="AM8">
        <v>1</v>
      </c>
      <c r="AN8">
        <v>1</v>
      </c>
      <c r="AO8">
        <v>0</v>
      </c>
      <c r="AP8">
        <v>0</v>
      </c>
      <c r="AQ8">
        <v>16.46</v>
      </c>
      <c r="AR8">
        <v>16.46</v>
      </c>
    </row>
    <row r="9" spans="1:44" x14ac:dyDescent="0.35">
      <c r="A9" t="s">
        <v>185</v>
      </c>
      <c r="B9" t="s">
        <v>186</v>
      </c>
      <c r="C9" t="s">
        <v>187</v>
      </c>
      <c r="D9" t="s">
        <v>47</v>
      </c>
      <c r="E9">
        <v>2026</v>
      </c>
      <c r="F9">
        <v>1</v>
      </c>
      <c r="G9" t="s">
        <v>48</v>
      </c>
      <c r="H9" t="s">
        <v>76</v>
      </c>
      <c r="I9" t="s">
        <v>78</v>
      </c>
      <c r="J9" t="s">
        <v>77</v>
      </c>
      <c r="K9">
        <v>21</v>
      </c>
      <c r="L9">
        <v>29</v>
      </c>
      <c r="M9">
        <v>269</v>
      </c>
      <c r="N9">
        <v>2</v>
      </c>
      <c r="O9">
        <v>0</v>
      </c>
      <c r="P9">
        <v>2</v>
      </c>
      <c r="Q9">
        <v>-8</v>
      </c>
      <c r="R9">
        <v>0</v>
      </c>
      <c r="S9">
        <v>0</v>
      </c>
      <c r="T9">
        <v>319</v>
      </c>
      <c r="U9">
        <v>80</v>
      </c>
      <c r="V9">
        <v>13</v>
      </c>
      <c r="W9">
        <v>18.5652871718667</v>
      </c>
      <c r="X9">
        <v>16.580337859117101</v>
      </c>
      <c r="Y9">
        <v>0</v>
      </c>
      <c r="Z9">
        <v>0.84326018808777403</v>
      </c>
      <c r="AA9">
        <v>11</v>
      </c>
      <c r="AB9">
        <v>5</v>
      </c>
      <c r="AC9">
        <v>4</v>
      </c>
      <c r="AD9">
        <v>1</v>
      </c>
      <c r="AE9">
        <v>10</v>
      </c>
      <c r="AF9">
        <v>65</v>
      </c>
      <c r="AG9">
        <v>2</v>
      </c>
      <c r="AH9">
        <v>0</v>
      </c>
      <c r="AI9">
        <v>0</v>
      </c>
      <c r="AJ9">
        <v>4</v>
      </c>
      <c r="AK9">
        <v>3.40844644146273</v>
      </c>
      <c r="AL9">
        <v>0</v>
      </c>
      <c r="AM9">
        <v>1</v>
      </c>
      <c r="AN9">
        <v>1</v>
      </c>
      <c r="AO9">
        <v>1</v>
      </c>
      <c r="AP9">
        <v>0</v>
      </c>
      <c r="AQ9">
        <v>37.26</v>
      </c>
      <c r="AR9">
        <v>37.26</v>
      </c>
    </row>
    <row r="10" spans="1:44" x14ac:dyDescent="0.35">
      <c r="A10" t="s">
        <v>155</v>
      </c>
      <c r="B10" t="s">
        <v>156</v>
      </c>
      <c r="C10" t="s">
        <v>157</v>
      </c>
      <c r="D10" t="s">
        <v>47</v>
      </c>
      <c r="E10">
        <v>2026</v>
      </c>
      <c r="F10">
        <v>1</v>
      </c>
      <c r="G10" t="s">
        <v>48</v>
      </c>
      <c r="H10" t="s">
        <v>94</v>
      </c>
      <c r="I10" t="s">
        <v>96</v>
      </c>
      <c r="J10" t="s">
        <v>95</v>
      </c>
      <c r="K10">
        <v>25</v>
      </c>
      <c r="L10">
        <v>35</v>
      </c>
      <c r="M10">
        <v>254</v>
      </c>
      <c r="N10">
        <v>1</v>
      </c>
      <c r="O10">
        <v>1</v>
      </c>
      <c r="P10">
        <v>1</v>
      </c>
      <c r="Q10">
        <v>-9</v>
      </c>
      <c r="R10">
        <v>0</v>
      </c>
      <c r="S10">
        <v>0</v>
      </c>
      <c r="T10">
        <v>226</v>
      </c>
      <c r="U10">
        <v>144</v>
      </c>
      <c r="V10">
        <v>14</v>
      </c>
      <c r="W10">
        <v>-2.6269530624217698</v>
      </c>
      <c r="X10">
        <v>6.3517327694331902</v>
      </c>
      <c r="Y10">
        <v>0</v>
      </c>
      <c r="Z10">
        <v>1.12389380530973</v>
      </c>
      <c r="AA10">
        <v>12</v>
      </c>
      <c r="AB10">
        <v>7</v>
      </c>
      <c r="AC10">
        <v>3</v>
      </c>
      <c r="AD10">
        <v>0</v>
      </c>
      <c r="AE10">
        <v>5</v>
      </c>
      <c r="AF10">
        <v>20</v>
      </c>
      <c r="AG10">
        <v>0</v>
      </c>
      <c r="AH10">
        <v>0</v>
      </c>
      <c r="AI10">
        <v>0</v>
      </c>
      <c r="AJ10">
        <v>4</v>
      </c>
      <c r="AK10">
        <v>0.48463938993518202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14.16</v>
      </c>
      <c r="AR10">
        <v>14.16</v>
      </c>
    </row>
    <row r="11" spans="1:44" x14ac:dyDescent="0.35">
      <c r="A11" t="s">
        <v>158</v>
      </c>
      <c r="B11" t="s">
        <v>159</v>
      </c>
      <c r="C11" t="s">
        <v>160</v>
      </c>
      <c r="D11" t="s">
        <v>47</v>
      </c>
      <c r="E11">
        <v>2026</v>
      </c>
      <c r="F11">
        <v>1</v>
      </c>
      <c r="G11" t="s">
        <v>48</v>
      </c>
      <c r="H11" t="s">
        <v>97</v>
      </c>
      <c r="I11" t="s">
        <v>98</v>
      </c>
      <c r="J11" t="s">
        <v>99</v>
      </c>
      <c r="K11">
        <v>18</v>
      </c>
      <c r="L11">
        <v>23</v>
      </c>
      <c r="M11">
        <v>245</v>
      </c>
      <c r="N11">
        <v>4</v>
      </c>
      <c r="O11">
        <v>0</v>
      </c>
      <c r="P11">
        <v>1</v>
      </c>
      <c r="Q11">
        <v>-11</v>
      </c>
      <c r="R11">
        <v>0</v>
      </c>
      <c r="S11">
        <v>0</v>
      </c>
      <c r="T11">
        <v>242</v>
      </c>
      <c r="U11">
        <v>61</v>
      </c>
      <c r="V11">
        <v>13</v>
      </c>
      <c r="W11">
        <v>19.021475746762</v>
      </c>
      <c r="X11">
        <v>22.3253698576064</v>
      </c>
      <c r="Y11">
        <v>0</v>
      </c>
      <c r="Z11">
        <v>1.0123966942148801</v>
      </c>
      <c r="AA11">
        <v>11</v>
      </c>
      <c r="AB11">
        <v>6</v>
      </c>
      <c r="AC11">
        <v>4</v>
      </c>
      <c r="AD11">
        <v>0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1</v>
      </c>
      <c r="AK11">
        <v>-0.39904270810075099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26.1</v>
      </c>
      <c r="AR11">
        <v>26.1</v>
      </c>
    </row>
    <row r="12" spans="1:44" x14ac:dyDescent="0.35">
      <c r="A12" t="s">
        <v>190</v>
      </c>
      <c r="B12" t="s">
        <v>191</v>
      </c>
      <c r="C12" t="s">
        <v>192</v>
      </c>
      <c r="D12" t="s">
        <v>47</v>
      </c>
      <c r="E12">
        <v>2026</v>
      </c>
      <c r="F12">
        <v>1</v>
      </c>
      <c r="G12" t="s">
        <v>48</v>
      </c>
      <c r="H12" t="s">
        <v>73</v>
      </c>
      <c r="I12" t="s">
        <v>75</v>
      </c>
      <c r="J12" t="s">
        <v>74</v>
      </c>
      <c r="K12">
        <v>23</v>
      </c>
      <c r="L12">
        <v>29</v>
      </c>
      <c r="M12">
        <v>230</v>
      </c>
      <c r="N12">
        <v>3</v>
      </c>
      <c r="O12">
        <v>0</v>
      </c>
      <c r="P12">
        <v>2</v>
      </c>
      <c r="Q12">
        <v>-1</v>
      </c>
      <c r="R12">
        <v>1</v>
      </c>
      <c r="S12">
        <v>0</v>
      </c>
      <c r="T12">
        <v>245</v>
      </c>
      <c r="U12">
        <v>86</v>
      </c>
      <c r="V12">
        <v>14</v>
      </c>
      <c r="W12">
        <v>21.9124518483004</v>
      </c>
      <c r="X12">
        <v>13.3835581869915</v>
      </c>
      <c r="Y12">
        <v>0</v>
      </c>
      <c r="Z12">
        <v>0.93877551020408201</v>
      </c>
      <c r="AA12">
        <v>10</v>
      </c>
      <c r="AB12">
        <v>5</v>
      </c>
      <c r="AC12">
        <v>0</v>
      </c>
      <c r="AD12">
        <v>0</v>
      </c>
      <c r="AE12">
        <v>11</v>
      </c>
      <c r="AF12">
        <v>54</v>
      </c>
      <c r="AG12">
        <v>0</v>
      </c>
      <c r="AH12">
        <v>0</v>
      </c>
      <c r="AI12">
        <v>0</v>
      </c>
      <c r="AJ12">
        <v>4</v>
      </c>
      <c r="AK12">
        <v>3.6880225634085901</v>
      </c>
      <c r="AL12">
        <v>0</v>
      </c>
      <c r="AM12">
        <v>2</v>
      </c>
      <c r="AN12">
        <v>2</v>
      </c>
      <c r="AO12">
        <v>1</v>
      </c>
      <c r="AP12">
        <v>0</v>
      </c>
      <c r="AQ12">
        <v>26.6</v>
      </c>
      <c r="AR12">
        <v>26.6</v>
      </c>
    </row>
    <row r="13" spans="1:44" x14ac:dyDescent="0.35">
      <c r="A13" t="s">
        <v>44</v>
      </c>
      <c r="B13" t="s">
        <v>45</v>
      </c>
      <c r="C13" t="s">
        <v>46</v>
      </c>
      <c r="D13" t="s">
        <v>47</v>
      </c>
      <c r="E13">
        <v>2026</v>
      </c>
      <c r="F13">
        <v>1</v>
      </c>
      <c r="G13" t="s">
        <v>48</v>
      </c>
      <c r="H13" t="s">
        <v>49</v>
      </c>
      <c r="I13" t="s">
        <v>50</v>
      </c>
      <c r="J13" t="s">
        <v>51</v>
      </c>
      <c r="K13">
        <v>24</v>
      </c>
      <c r="L13">
        <v>40</v>
      </c>
      <c r="M13">
        <v>221</v>
      </c>
      <c r="N13">
        <v>1</v>
      </c>
      <c r="O13">
        <v>0</v>
      </c>
      <c r="P13">
        <v>2</v>
      </c>
      <c r="Q13">
        <v>-15</v>
      </c>
      <c r="R13">
        <v>0</v>
      </c>
      <c r="S13">
        <v>0</v>
      </c>
      <c r="T13">
        <v>407</v>
      </c>
      <c r="U13">
        <v>121</v>
      </c>
      <c r="V13">
        <v>10</v>
      </c>
      <c r="W13">
        <v>-7.8381452707295001</v>
      </c>
      <c r="X13">
        <v>1.23448287313049</v>
      </c>
      <c r="Y13">
        <v>0</v>
      </c>
      <c r="Z13">
        <v>0.54299754299754299</v>
      </c>
      <c r="AA13">
        <v>9</v>
      </c>
      <c r="AB13">
        <v>5</v>
      </c>
      <c r="AC13">
        <v>3</v>
      </c>
      <c r="AD13">
        <v>0</v>
      </c>
      <c r="AE13">
        <v>3</v>
      </c>
      <c r="AF13">
        <v>-3</v>
      </c>
      <c r="AG13">
        <v>0</v>
      </c>
      <c r="AH13">
        <v>0</v>
      </c>
      <c r="AI13">
        <v>0</v>
      </c>
      <c r="AJ13">
        <v>0</v>
      </c>
      <c r="AK13">
        <v>-1.4396816462394799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12.54</v>
      </c>
      <c r="AR13">
        <v>12.54</v>
      </c>
    </row>
    <row r="14" spans="1:44" x14ac:dyDescent="0.35">
      <c r="A14" t="s">
        <v>167</v>
      </c>
      <c r="B14" t="s">
        <v>168</v>
      </c>
      <c r="C14" t="s">
        <v>169</v>
      </c>
      <c r="D14" t="s">
        <v>47</v>
      </c>
      <c r="E14">
        <v>2026</v>
      </c>
      <c r="F14">
        <v>1</v>
      </c>
      <c r="G14" t="s">
        <v>48</v>
      </c>
      <c r="H14" t="s">
        <v>64</v>
      </c>
      <c r="I14" t="s">
        <v>66</v>
      </c>
      <c r="J14" t="s">
        <v>65</v>
      </c>
      <c r="K14">
        <v>15</v>
      </c>
      <c r="L14">
        <v>27</v>
      </c>
      <c r="M14">
        <v>220</v>
      </c>
      <c r="N14">
        <v>0</v>
      </c>
      <c r="O14">
        <v>1</v>
      </c>
      <c r="P14">
        <v>5</v>
      </c>
      <c r="Q14">
        <v>-35</v>
      </c>
      <c r="R14">
        <v>0</v>
      </c>
      <c r="S14">
        <v>0</v>
      </c>
      <c r="T14">
        <v>309</v>
      </c>
      <c r="U14">
        <v>96</v>
      </c>
      <c r="V14">
        <v>7</v>
      </c>
      <c r="W14">
        <v>-5.4897496970894704</v>
      </c>
      <c r="X14">
        <v>-8.8502465574829703</v>
      </c>
      <c r="Y14">
        <v>0</v>
      </c>
      <c r="Z14">
        <v>0.711974110032362</v>
      </c>
      <c r="AA14">
        <v>10</v>
      </c>
      <c r="AB14">
        <v>5</v>
      </c>
      <c r="AC14">
        <v>5</v>
      </c>
      <c r="AD14">
        <v>0</v>
      </c>
      <c r="AE14">
        <v>6</v>
      </c>
      <c r="AF14">
        <v>39</v>
      </c>
      <c r="AG14">
        <v>1</v>
      </c>
      <c r="AH14">
        <v>1</v>
      </c>
      <c r="AI14">
        <v>0</v>
      </c>
      <c r="AJ14">
        <v>2</v>
      </c>
      <c r="AK14">
        <v>1.0458942155237301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16.7</v>
      </c>
      <c r="AR14">
        <v>16.7</v>
      </c>
    </row>
    <row r="15" spans="1:44" x14ac:dyDescent="0.35">
      <c r="A15" t="s">
        <v>129</v>
      </c>
      <c r="B15" t="s">
        <v>130</v>
      </c>
      <c r="C15" t="s">
        <v>131</v>
      </c>
      <c r="D15" t="s">
        <v>47</v>
      </c>
      <c r="E15">
        <v>2026</v>
      </c>
      <c r="F15">
        <v>1</v>
      </c>
      <c r="G15" t="s">
        <v>48</v>
      </c>
      <c r="H15" t="s">
        <v>94</v>
      </c>
      <c r="I15" t="s">
        <v>95</v>
      </c>
      <c r="J15" t="s">
        <v>96</v>
      </c>
      <c r="K15">
        <v>23</v>
      </c>
      <c r="L15">
        <v>28</v>
      </c>
      <c r="M15">
        <v>216</v>
      </c>
      <c r="N15">
        <v>0</v>
      </c>
      <c r="O15">
        <v>0</v>
      </c>
      <c r="P15">
        <v>4</v>
      </c>
      <c r="Q15">
        <v>-23</v>
      </c>
      <c r="R15">
        <v>2</v>
      </c>
      <c r="S15">
        <v>2</v>
      </c>
      <c r="T15">
        <v>143</v>
      </c>
      <c r="U15">
        <v>167</v>
      </c>
      <c r="V15">
        <v>12</v>
      </c>
      <c r="W15">
        <v>-5.4105194455370897</v>
      </c>
      <c r="X15">
        <v>14.020461947829601</v>
      </c>
      <c r="Y15">
        <v>0</v>
      </c>
      <c r="Z15">
        <v>1.51048951048951</v>
      </c>
      <c r="AA15">
        <v>12</v>
      </c>
      <c r="AB15">
        <v>4</v>
      </c>
      <c r="AC15">
        <v>2</v>
      </c>
      <c r="AD15">
        <v>0</v>
      </c>
      <c r="AE15">
        <v>5</v>
      </c>
      <c r="AF15">
        <v>30</v>
      </c>
      <c r="AG15">
        <v>1</v>
      </c>
      <c r="AH15">
        <v>1</v>
      </c>
      <c r="AI15">
        <v>1</v>
      </c>
      <c r="AJ15">
        <v>1</v>
      </c>
      <c r="AK15">
        <v>-2.6170855918899201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11.64</v>
      </c>
      <c r="AR15">
        <v>11.64</v>
      </c>
    </row>
    <row r="16" spans="1:44" x14ac:dyDescent="0.35">
      <c r="A16" t="s">
        <v>85</v>
      </c>
      <c r="B16" t="s">
        <v>86</v>
      </c>
      <c r="C16" t="s">
        <v>87</v>
      </c>
      <c r="D16" t="s">
        <v>47</v>
      </c>
      <c r="E16">
        <v>2026</v>
      </c>
      <c r="F16">
        <v>1</v>
      </c>
      <c r="G16" t="s">
        <v>48</v>
      </c>
      <c r="H16" t="s">
        <v>70</v>
      </c>
      <c r="I16" t="s">
        <v>71</v>
      </c>
      <c r="J16" t="s">
        <v>72</v>
      </c>
      <c r="K16">
        <v>19</v>
      </c>
      <c r="L16">
        <v>24</v>
      </c>
      <c r="M16">
        <v>215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168</v>
      </c>
      <c r="U16">
        <v>82</v>
      </c>
      <c r="V16">
        <v>7</v>
      </c>
      <c r="W16">
        <v>9.7548521044587595</v>
      </c>
      <c r="X16">
        <v>12.836020925770599</v>
      </c>
      <c r="Y16">
        <v>0</v>
      </c>
      <c r="Z16">
        <v>1.2797619047619</v>
      </c>
      <c r="AA16">
        <v>5</v>
      </c>
      <c r="AB16">
        <v>5</v>
      </c>
      <c r="AC16">
        <v>4</v>
      </c>
      <c r="AD16">
        <v>1</v>
      </c>
      <c r="AE16">
        <v>6</v>
      </c>
      <c r="AF16">
        <v>7</v>
      </c>
      <c r="AG16">
        <v>0</v>
      </c>
      <c r="AH16">
        <v>1</v>
      </c>
      <c r="AI16">
        <v>0</v>
      </c>
      <c r="AJ16">
        <v>0</v>
      </c>
      <c r="AK16">
        <v>-5.2567054240498701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9.3000000000000007</v>
      </c>
      <c r="AR16">
        <v>9.3000000000000007</v>
      </c>
    </row>
    <row r="17" spans="1:44" x14ac:dyDescent="0.35">
      <c r="A17" t="s">
        <v>149</v>
      </c>
      <c r="B17" t="s">
        <v>150</v>
      </c>
      <c r="C17" t="s">
        <v>151</v>
      </c>
      <c r="D17" t="s">
        <v>47</v>
      </c>
      <c r="E17">
        <v>2026</v>
      </c>
      <c r="F17">
        <v>1</v>
      </c>
      <c r="G17" t="s">
        <v>48</v>
      </c>
      <c r="H17" t="s">
        <v>82</v>
      </c>
      <c r="I17" t="s">
        <v>83</v>
      </c>
      <c r="J17" t="s">
        <v>84</v>
      </c>
      <c r="K17">
        <v>17</v>
      </c>
      <c r="L17">
        <v>27</v>
      </c>
      <c r="M17">
        <v>209</v>
      </c>
      <c r="N17">
        <v>1</v>
      </c>
      <c r="O17">
        <v>1</v>
      </c>
      <c r="P17">
        <v>3</v>
      </c>
      <c r="Q17">
        <v>-22</v>
      </c>
      <c r="R17">
        <v>0</v>
      </c>
      <c r="S17">
        <v>0</v>
      </c>
      <c r="T17">
        <v>273</v>
      </c>
      <c r="U17">
        <v>78</v>
      </c>
      <c r="V17">
        <v>9</v>
      </c>
      <c r="W17">
        <v>-5.60766631702427</v>
      </c>
      <c r="X17">
        <v>-6.20937612321642</v>
      </c>
      <c r="Y17">
        <v>0</v>
      </c>
      <c r="Z17">
        <v>0.76556776556776596</v>
      </c>
      <c r="AA17">
        <v>10</v>
      </c>
      <c r="AB17">
        <v>4</v>
      </c>
      <c r="AC17">
        <v>2</v>
      </c>
      <c r="AD17">
        <v>0</v>
      </c>
      <c r="AE17">
        <v>5</v>
      </c>
      <c r="AF17">
        <v>29</v>
      </c>
      <c r="AG17">
        <v>0</v>
      </c>
      <c r="AH17">
        <v>0</v>
      </c>
      <c r="AI17">
        <v>0</v>
      </c>
      <c r="AJ17">
        <v>1</v>
      </c>
      <c r="AK17">
        <v>-1.0671419361024199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13.26</v>
      </c>
      <c r="AR17">
        <v>13.26</v>
      </c>
    </row>
    <row r="18" spans="1:44" x14ac:dyDescent="0.35">
      <c r="A18" t="s">
        <v>106</v>
      </c>
      <c r="B18" t="s">
        <v>107</v>
      </c>
      <c r="C18" t="s">
        <v>108</v>
      </c>
      <c r="D18" t="s">
        <v>47</v>
      </c>
      <c r="E18">
        <v>2026</v>
      </c>
      <c r="F18">
        <v>1</v>
      </c>
      <c r="G18" t="s">
        <v>48</v>
      </c>
      <c r="H18" t="s">
        <v>109</v>
      </c>
      <c r="I18" t="s">
        <v>110</v>
      </c>
      <c r="J18" t="s">
        <v>111</v>
      </c>
      <c r="K18">
        <v>26</v>
      </c>
      <c r="L18">
        <v>39</v>
      </c>
      <c r="M18">
        <v>206</v>
      </c>
      <c r="N18">
        <v>2</v>
      </c>
      <c r="O18">
        <v>0</v>
      </c>
      <c r="P18">
        <v>1</v>
      </c>
      <c r="Q18">
        <v>-2</v>
      </c>
      <c r="R18">
        <v>0</v>
      </c>
      <c r="S18">
        <v>0</v>
      </c>
      <c r="T18">
        <v>207</v>
      </c>
      <c r="U18">
        <v>97</v>
      </c>
      <c r="V18">
        <v>10</v>
      </c>
      <c r="W18">
        <v>5.8545109691337602</v>
      </c>
      <c r="X18">
        <v>-2.90968670294835</v>
      </c>
      <c r="Y18">
        <v>0</v>
      </c>
      <c r="Z18">
        <v>0.99516908212560395</v>
      </c>
      <c r="AA18">
        <v>6</v>
      </c>
      <c r="AB18">
        <v>3</v>
      </c>
      <c r="AC18">
        <v>1</v>
      </c>
      <c r="AD18">
        <v>0</v>
      </c>
      <c r="AE18">
        <v>2</v>
      </c>
      <c r="AF18">
        <v>2</v>
      </c>
      <c r="AG18">
        <v>0</v>
      </c>
      <c r="AH18">
        <v>1</v>
      </c>
      <c r="AI18">
        <v>0</v>
      </c>
      <c r="AJ18">
        <v>0</v>
      </c>
      <c r="AK18">
        <v>-1.5022279582917699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16.440000000000001</v>
      </c>
      <c r="AR18">
        <v>16.440000000000001</v>
      </c>
    </row>
    <row r="19" spans="1:44" x14ac:dyDescent="0.35">
      <c r="A19" t="s">
        <v>119</v>
      </c>
      <c r="B19" t="s">
        <v>120</v>
      </c>
      <c r="C19" t="s">
        <v>121</v>
      </c>
      <c r="D19" t="s">
        <v>47</v>
      </c>
      <c r="E19">
        <v>2026</v>
      </c>
      <c r="F19">
        <v>1</v>
      </c>
      <c r="G19" t="s">
        <v>48</v>
      </c>
      <c r="H19" t="s">
        <v>97</v>
      </c>
      <c r="I19" t="s">
        <v>99</v>
      </c>
      <c r="J19" t="s">
        <v>98</v>
      </c>
      <c r="K19">
        <v>16</v>
      </c>
      <c r="L19">
        <v>22</v>
      </c>
      <c r="M19">
        <v>205</v>
      </c>
      <c r="N19">
        <v>1</v>
      </c>
      <c r="O19">
        <v>1</v>
      </c>
      <c r="P19">
        <v>5</v>
      </c>
      <c r="Q19">
        <v>-20</v>
      </c>
      <c r="R19">
        <v>1</v>
      </c>
      <c r="S19">
        <v>0</v>
      </c>
      <c r="T19">
        <v>228</v>
      </c>
      <c r="U19">
        <v>95</v>
      </c>
      <c r="V19">
        <v>9</v>
      </c>
      <c r="W19">
        <v>-5.5601221945187396</v>
      </c>
      <c r="X19">
        <v>10.320995748043099</v>
      </c>
      <c r="Y19">
        <v>0</v>
      </c>
      <c r="Z19">
        <v>0.89912280701754399</v>
      </c>
      <c r="AA19">
        <v>8</v>
      </c>
      <c r="AB19">
        <v>4</v>
      </c>
      <c r="AC19">
        <v>3</v>
      </c>
      <c r="AD19">
        <v>1</v>
      </c>
      <c r="AE19">
        <v>6</v>
      </c>
      <c r="AF19">
        <v>38</v>
      </c>
      <c r="AG19">
        <v>0</v>
      </c>
      <c r="AH19">
        <v>0</v>
      </c>
      <c r="AI19">
        <v>0</v>
      </c>
      <c r="AJ19">
        <v>3</v>
      </c>
      <c r="AK19">
        <v>4.2083845188026299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</v>
      </c>
      <c r="AR19">
        <v>14</v>
      </c>
    </row>
    <row r="20" spans="1:44" x14ac:dyDescent="0.35">
      <c r="A20" t="s">
        <v>161</v>
      </c>
      <c r="B20" t="s">
        <v>162</v>
      </c>
      <c r="C20" t="s">
        <v>163</v>
      </c>
      <c r="D20" t="s">
        <v>47</v>
      </c>
      <c r="E20">
        <v>2026</v>
      </c>
      <c r="F20">
        <v>1</v>
      </c>
      <c r="G20" t="s">
        <v>48</v>
      </c>
      <c r="H20" t="s">
        <v>58</v>
      </c>
      <c r="I20" t="s">
        <v>60</v>
      </c>
      <c r="J20" t="s">
        <v>59</v>
      </c>
      <c r="K20">
        <v>25</v>
      </c>
      <c r="L20">
        <v>34</v>
      </c>
      <c r="M20">
        <v>205</v>
      </c>
      <c r="N20">
        <v>3</v>
      </c>
      <c r="O20">
        <v>1</v>
      </c>
      <c r="P20">
        <v>0</v>
      </c>
      <c r="Q20">
        <v>0</v>
      </c>
      <c r="R20">
        <v>0</v>
      </c>
      <c r="S20">
        <v>0</v>
      </c>
      <c r="T20">
        <v>149</v>
      </c>
      <c r="U20">
        <v>117</v>
      </c>
      <c r="V20">
        <v>12</v>
      </c>
      <c r="W20">
        <v>4.8256275358809297</v>
      </c>
      <c r="X20">
        <v>0.77155618106617696</v>
      </c>
      <c r="Y20">
        <v>0</v>
      </c>
      <c r="Z20">
        <v>1.3758389261745001</v>
      </c>
      <c r="AA20">
        <v>7</v>
      </c>
      <c r="AB20">
        <v>1</v>
      </c>
      <c r="AC20">
        <v>1</v>
      </c>
      <c r="AD20">
        <v>0</v>
      </c>
      <c r="AE20">
        <v>5</v>
      </c>
      <c r="AF20">
        <v>29</v>
      </c>
      <c r="AG20">
        <v>0</v>
      </c>
      <c r="AH20">
        <v>0</v>
      </c>
      <c r="AI20">
        <v>0</v>
      </c>
      <c r="AJ20">
        <v>4</v>
      </c>
      <c r="AK20">
        <v>3.22245055087842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21.1</v>
      </c>
      <c r="AR20">
        <v>21.1</v>
      </c>
    </row>
    <row r="21" spans="1:44" x14ac:dyDescent="0.35">
      <c r="A21" t="s">
        <v>152</v>
      </c>
      <c r="B21" t="s">
        <v>153</v>
      </c>
      <c r="C21" t="s">
        <v>154</v>
      </c>
      <c r="D21" t="s">
        <v>47</v>
      </c>
      <c r="E21">
        <v>2026</v>
      </c>
      <c r="F21">
        <v>1</v>
      </c>
      <c r="G21" t="s">
        <v>48</v>
      </c>
      <c r="H21" t="s">
        <v>79</v>
      </c>
      <c r="I21" t="s">
        <v>81</v>
      </c>
      <c r="J21" t="s">
        <v>80</v>
      </c>
      <c r="K21">
        <v>14</v>
      </c>
      <c r="L21">
        <v>25</v>
      </c>
      <c r="M21">
        <v>203</v>
      </c>
      <c r="N21">
        <v>3</v>
      </c>
      <c r="O21">
        <v>0</v>
      </c>
      <c r="P21">
        <v>3</v>
      </c>
      <c r="Q21">
        <v>-21</v>
      </c>
      <c r="R21">
        <v>0</v>
      </c>
      <c r="S21">
        <v>0</v>
      </c>
      <c r="T21">
        <v>225</v>
      </c>
      <c r="U21">
        <v>65</v>
      </c>
      <c r="V21">
        <v>6</v>
      </c>
      <c r="W21">
        <v>1.27337632780823</v>
      </c>
      <c r="X21">
        <v>0.86794129826805799</v>
      </c>
      <c r="Y21">
        <v>0</v>
      </c>
      <c r="Z21">
        <v>0.90222222222222204</v>
      </c>
      <c r="AA21">
        <v>7</v>
      </c>
      <c r="AB21">
        <v>4</v>
      </c>
      <c r="AC21">
        <v>3</v>
      </c>
      <c r="AD21">
        <v>2</v>
      </c>
      <c r="AE21">
        <v>7</v>
      </c>
      <c r="AF21">
        <v>46</v>
      </c>
      <c r="AG21">
        <v>0</v>
      </c>
      <c r="AH21">
        <v>0</v>
      </c>
      <c r="AI21">
        <v>0</v>
      </c>
      <c r="AJ21">
        <v>2</v>
      </c>
      <c r="AK21">
        <v>4.1987554052611804</v>
      </c>
      <c r="AL21">
        <v>0</v>
      </c>
      <c r="AM21">
        <v>2</v>
      </c>
      <c r="AN21">
        <v>2</v>
      </c>
      <c r="AO21">
        <v>1</v>
      </c>
      <c r="AP21">
        <v>0</v>
      </c>
      <c r="AQ21">
        <v>24.72</v>
      </c>
      <c r="AR21">
        <v>24.72</v>
      </c>
    </row>
    <row r="22" spans="1:44" x14ac:dyDescent="0.35">
      <c r="A22" t="s">
        <v>142</v>
      </c>
      <c r="B22" t="s">
        <v>143</v>
      </c>
      <c r="C22" t="s">
        <v>144</v>
      </c>
      <c r="D22" t="s">
        <v>47</v>
      </c>
      <c r="E22">
        <v>2026</v>
      </c>
      <c r="F22">
        <v>1</v>
      </c>
      <c r="G22" t="s">
        <v>48</v>
      </c>
      <c r="H22" t="s">
        <v>88</v>
      </c>
      <c r="I22" t="s">
        <v>90</v>
      </c>
      <c r="J22" t="s">
        <v>89</v>
      </c>
      <c r="K22">
        <v>16</v>
      </c>
      <c r="L22">
        <v>22</v>
      </c>
      <c r="M22">
        <v>187</v>
      </c>
      <c r="N22">
        <v>1</v>
      </c>
      <c r="O22">
        <v>0</v>
      </c>
      <c r="P22">
        <v>1</v>
      </c>
      <c r="Q22">
        <v>-7</v>
      </c>
      <c r="R22">
        <v>0</v>
      </c>
      <c r="S22">
        <v>0</v>
      </c>
      <c r="T22">
        <v>139</v>
      </c>
      <c r="U22">
        <v>102</v>
      </c>
      <c r="V22">
        <v>8</v>
      </c>
      <c r="W22">
        <v>6.4445949501654898</v>
      </c>
      <c r="X22">
        <v>4.7794123942201798</v>
      </c>
      <c r="Y22">
        <v>0</v>
      </c>
      <c r="Z22">
        <v>1.3453237410071901</v>
      </c>
      <c r="AA22">
        <v>7</v>
      </c>
      <c r="AB22">
        <v>3</v>
      </c>
      <c r="AC22">
        <v>3</v>
      </c>
      <c r="AD22">
        <v>1</v>
      </c>
      <c r="AE22">
        <v>2</v>
      </c>
      <c r="AF22">
        <v>13</v>
      </c>
      <c r="AG22">
        <v>0</v>
      </c>
      <c r="AH22">
        <v>0</v>
      </c>
      <c r="AI22">
        <v>0</v>
      </c>
      <c r="AJ22">
        <v>0</v>
      </c>
      <c r="AK22">
        <v>1.7339504111441799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12.78</v>
      </c>
      <c r="AR22">
        <v>12.78</v>
      </c>
    </row>
    <row r="23" spans="1:44" x14ac:dyDescent="0.35">
      <c r="A23" t="s">
        <v>179</v>
      </c>
      <c r="B23" t="s">
        <v>180</v>
      </c>
      <c r="C23" t="s">
        <v>181</v>
      </c>
      <c r="D23" t="s">
        <v>47</v>
      </c>
      <c r="E23">
        <v>2026</v>
      </c>
      <c r="F23">
        <v>1</v>
      </c>
      <c r="G23" t="s">
        <v>48</v>
      </c>
      <c r="H23" t="s">
        <v>88</v>
      </c>
      <c r="I23" t="s">
        <v>89</v>
      </c>
      <c r="J23" t="s">
        <v>90</v>
      </c>
      <c r="K23">
        <v>23</v>
      </c>
      <c r="L23">
        <v>33</v>
      </c>
      <c r="M23">
        <v>178</v>
      </c>
      <c r="N23">
        <v>1</v>
      </c>
      <c r="O23">
        <v>3</v>
      </c>
      <c r="P23">
        <v>3</v>
      </c>
      <c r="Q23">
        <v>-10</v>
      </c>
      <c r="R23">
        <v>0</v>
      </c>
      <c r="S23">
        <v>0</v>
      </c>
      <c r="T23">
        <v>221</v>
      </c>
      <c r="U23">
        <v>111</v>
      </c>
      <c r="V23">
        <v>9</v>
      </c>
      <c r="W23">
        <v>-4.6213541549859798</v>
      </c>
      <c r="X23">
        <v>5.9704506589520401</v>
      </c>
      <c r="Y23">
        <v>0</v>
      </c>
      <c r="Z23">
        <v>0.80542986425339402</v>
      </c>
      <c r="AA23">
        <v>9</v>
      </c>
      <c r="AB23">
        <v>2</v>
      </c>
      <c r="AC23">
        <v>0</v>
      </c>
      <c r="AD23">
        <v>0</v>
      </c>
      <c r="AE23">
        <v>7</v>
      </c>
      <c r="AF23">
        <v>47</v>
      </c>
      <c r="AG23">
        <v>0</v>
      </c>
      <c r="AH23">
        <v>0</v>
      </c>
      <c r="AI23">
        <v>0</v>
      </c>
      <c r="AJ23">
        <v>5</v>
      </c>
      <c r="AK23">
        <v>7.3118903530994404</v>
      </c>
      <c r="AL23">
        <v>0</v>
      </c>
      <c r="AM23">
        <v>2</v>
      </c>
      <c r="AN23">
        <v>1</v>
      </c>
      <c r="AO23">
        <v>0</v>
      </c>
      <c r="AP23">
        <v>0</v>
      </c>
      <c r="AQ23">
        <v>9.82</v>
      </c>
      <c r="AR23">
        <v>9.82</v>
      </c>
    </row>
    <row r="24" spans="1:44" x14ac:dyDescent="0.35">
      <c r="A24" t="s">
        <v>103</v>
      </c>
      <c r="B24" t="s">
        <v>104</v>
      </c>
      <c r="C24" t="s">
        <v>105</v>
      </c>
      <c r="D24" t="s">
        <v>47</v>
      </c>
      <c r="E24">
        <v>2026</v>
      </c>
      <c r="F24">
        <v>1</v>
      </c>
      <c r="G24" t="s">
        <v>48</v>
      </c>
      <c r="H24" t="s">
        <v>73</v>
      </c>
      <c r="I24" t="s">
        <v>74</v>
      </c>
      <c r="J24" t="s">
        <v>75</v>
      </c>
      <c r="K24">
        <v>22</v>
      </c>
      <c r="L24">
        <v>34</v>
      </c>
      <c r="M24">
        <v>175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309</v>
      </c>
      <c r="U24">
        <v>91</v>
      </c>
      <c r="V24">
        <v>12</v>
      </c>
      <c r="W24">
        <v>10.3809027645621</v>
      </c>
      <c r="X24">
        <v>7.7298666040102599</v>
      </c>
      <c r="Y24">
        <v>0</v>
      </c>
      <c r="Z24">
        <v>0.56634304207119801</v>
      </c>
      <c r="AA24">
        <v>8</v>
      </c>
      <c r="AB24">
        <v>2</v>
      </c>
      <c r="AC24">
        <v>0</v>
      </c>
      <c r="AD24">
        <v>0</v>
      </c>
      <c r="AE24">
        <v>2</v>
      </c>
      <c r="AF24">
        <v>14</v>
      </c>
      <c r="AG24">
        <v>0</v>
      </c>
      <c r="AH24">
        <v>0</v>
      </c>
      <c r="AI24">
        <v>0</v>
      </c>
      <c r="AJ24">
        <v>1</v>
      </c>
      <c r="AK24">
        <v>0.93653674330562398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14.4</v>
      </c>
      <c r="AR24">
        <v>14.4</v>
      </c>
    </row>
    <row r="25" spans="1:44" x14ac:dyDescent="0.35">
      <c r="A25" t="s">
        <v>145</v>
      </c>
      <c r="B25" t="s">
        <v>141</v>
      </c>
      <c r="C25" t="s">
        <v>146</v>
      </c>
      <c r="D25" t="s">
        <v>47</v>
      </c>
      <c r="E25">
        <v>2026</v>
      </c>
      <c r="F25">
        <v>1</v>
      </c>
      <c r="G25" t="s">
        <v>48</v>
      </c>
      <c r="H25" t="s">
        <v>52</v>
      </c>
      <c r="I25" t="s">
        <v>54</v>
      </c>
      <c r="J25" t="s">
        <v>53</v>
      </c>
      <c r="K25">
        <v>19</v>
      </c>
      <c r="L25">
        <v>31</v>
      </c>
      <c r="M25">
        <v>166</v>
      </c>
      <c r="N25">
        <v>1</v>
      </c>
      <c r="O25">
        <v>1</v>
      </c>
      <c r="P25">
        <v>2</v>
      </c>
      <c r="Q25">
        <v>-17</v>
      </c>
      <c r="R25">
        <v>0</v>
      </c>
      <c r="S25">
        <v>0</v>
      </c>
      <c r="T25">
        <v>201</v>
      </c>
      <c r="U25">
        <v>76</v>
      </c>
      <c r="V25">
        <v>8</v>
      </c>
      <c r="W25">
        <v>-9.6122298773686303</v>
      </c>
      <c r="X25">
        <v>-5.0604578749886899</v>
      </c>
      <c r="Y25">
        <v>0</v>
      </c>
      <c r="Z25">
        <v>0.82587064676616895</v>
      </c>
      <c r="AA25">
        <v>7</v>
      </c>
      <c r="AB25">
        <v>2</v>
      </c>
      <c r="AC25">
        <v>2</v>
      </c>
      <c r="AD25">
        <v>0</v>
      </c>
      <c r="AE25">
        <v>1</v>
      </c>
      <c r="AF25">
        <v>4</v>
      </c>
      <c r="AG25">
        <v>0</v>
      </c>
      <c r="AH25">
        <v>0</v>
      </c>
      <c r="AI25">
        <v>0</v>
      </c>
      <c r="AJ25">
        <v>1</v>
      </c>
      <c r="AK25">
        <v>0.24439875199459499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9.0399999999999991</v>
      </c>
      <c r="AR25">
        <v>9.0399999999999991</v>
      </c>
    </row>
    <row r="26" spans="1:44" x14ac:dyDescent="0.35">
      <c r="A26" t="s">
        <v>182</v>
      </c>
      <c r="B26" t="s">
        <v>183</v>
      </c>
      <c r="C26" t="s">
        <v>184</v>
      </c>
      <c r="D26" t="s">
        <v>47</v>
      </c>
      <c r="E26">
        <v>2026</v>
      </c>
      <c r="F26">
        <v>1</v>
      </c>
      <c r="G26" t="s">
        <v>48</v>
      </c>
      <c r="H26" t="s">
        <v>79</v>
      </c>
      <c r="I26" t="s">
        <v>80</v>
      </c>
      <c r="J26" t="s">
        <v>81</v>
      </c>
      <c r="K26">
        <v>18</v>
      </c>
      <c r="L26">
        <v>34</v>
      </c>
      <c r="M26">
        <v>164</v>
      </c>
      <c r="N26">
        <v>2</v>
      </c>
      <c r="O26">
        <v>0</v>
      </c>
      <c r="P26">
        <v>1</v>
      </c>
      <c r="Q26">
        <v>-1</v>
      </c>
      <c r="R26">
        <v>0</v>
      </c>
      <c r="S26">
        <v>0</v>
      </c>
      <c r="T26">
        <v>317</v>
      </c>
      <c r="U26">
        <v>71</v>
      </c>
      <c r="V26">
        <v>10</v>
      </c>
      <c r="W26">
        <v>3.9058354551729599</v>
      </c>
      <c r="X26">
        <v>-3.4453027721109102</v>
      </c>
      <c r="Y26">
        <v>0</v>
      </c>
      <c r="Z26">
        <v>0.51735015772870696</v>
      </c>
      <c r="AA26">
        <v>8</v>
      </c>
      <c r="AB26">
        <v>3</v>
      </c>
      <c r="AC26">
        <v>1</v>
      </c>
      <c r="AD26">
        <v>0</v>
      </c>
      <c r="AE26">
        <v>5</v>
      </c>
      <c r="AF26">
        <v>31</v>
      </c>
      <c r="AG26">
        <v>0</v>
      </c>
      <c r="AH26">
        <v>0</v>
      </c>
      <c r="AI26">
        <v>0</v>
      </c>
      <c r="AJ26">
        <v>1</v>
      </c>
      <c r="AK26">
        <v>0.50112467940198302</v>
      </c>
      <c r="AL26">
        <v>0</v>
      </c>
      <c r="AM26">
        <v>2</v>
      </c>
      <c r="AN26">
        <v>2</v>
      </c>
      <c r="AO26">
        <v>0</v>
      </c>
      <c r="AP26">
        <v>0</v>
      </c>
      <c r="AQ26">
        <v>17.66</v>
      </c>
      <c r="AR26">
        <v>17.66</v>
      </c>
    </row>
    <row r="27" spans="1:44" x14ac:dyDescent="0.35">
      <c r="A27" t="s">
        <v>61</v>
      </c>
      <c r="B27" t="s">
        <v>62</v>
      </c>
      <c r="C27" t="s">
        <v>63</v>
      </c>
      <c r="D27" t="s">
        <v>47</v>
      </c>
      <c r="E27">
        <v>2026</v>
      </c>
      <c r="F27">
        <v>1</v>
      </c>
      <c r="G27" t="s">
        <v>48</v>
      </c>
      <c r="H27" t="s">
        <v>64</v>
      </c>
      <c r="I27" t="s">
        <v>65</v>
      </c>
      <c r="J27" t="s">
        <v>66</v>
      </c>
      <c r="K27">
        <v>21</v>
      </c>
      <c r="L27">
        <v>30</v>
      </c>
      <c r="M27">
        <v>160</v>
      </c>
      <c r="N27">
        <v>3</v>
      </c>
      <c r="O27">
        <v>2</v>
      </c>
      <c r="P27">
        <v>0</v>
      </c>
      <c r="Q27">
        <v>0</v>
      </c>
      <c r="R27">
        <v>0</v>
      </c>
      <c r="S27">
        <v>0</v>
      </c>
      <c r="T27">
        <v>226</v>
      </c>
      <c r="U27">
        <v>70</v>
      </c>
      <c r="V27">
        <v>10</v>
      </c>
      <c r="W27">
        <v>0.39319466235929601</v>
      </c>
      <c r="X27">
        <v>0.70890106003859898</v>
      </c>
      <c r="Y27">
        <v>0</v>
      </c>
      <c r="Z27">
        <v>0.70796460176991205</v>
      </c>
      <c r="AA27">
        <v>6</v>
      </c>
      <c r="AB27">
        <v>1</v>
      </c>
      <c r="AC27">
        <v>1</v>
      </c>
      <c r="AD27">
        <v>0</v>
      </c>
      <c r="AE27">
        <v>5</v>
      </c>
      <c r="AF27">
        <v>-6</v>
      </c>
      <c r="AG27">
        <v>0</v>
      </c>
      <c r="AH27">
        <v>0</v>
      </c>
      <c r="AI27">
        <v>0</v>
      </c>
      <c r="AJ27">
        <v>0</v>
      </c>
      <c r="AK27">
        <v>-3.7646021768450701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13.8</v>
      </c>
      <c r="AR27">
        <v>13.8</v>
      </c>
    </row>
    <row r="28" spans="1:44" x14ac:dyDescent="0.35">
      <c r="A28" t="s">
        <v>55</v>
      </c>
      <c r="B28" t="s">
        <v>56</v>
      </c>
      <c r="C28" t="s">
        <v>57</v>
      </c>
      <c r="D28" t="s">
        <v>47</v>
      </c>
      <c r="E28">
        <v>2026</v>
      </c>
      <c r="F28">
        <v>1</v>
      </c>
      <c r="G28" t="s">
        <v>48</v>
      </c>
      <c r="H28" t="s">
        <v>58</v>
      </c>
      <c r="I28" t="s">
        <v>59</v>
      </c>
      <c r="J28" t="s">
        <v>60</v>
      </c>
      <c r="K28">
        <v>15</v>
      </c>
      <c r="L28">
        <v>25</v>
      </c>
      <c r="M28">
        <v>155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232</v>
      </c>
      <c r="U28">
        <v>85</v>
      </c>
      <c r="V28">
        <v>5</v>
      </c>
      <c r="W28">
        <v>-5.6111423542024603</v>
      </c>
      <c r="X28">
        <v>-4.6885203570127496</v>
      </c>
      <c r="Y28">
        <v>0</v>
      </c>
      <c r="Z28">
        <v>0.66810344827586199</v>
      </c>
      <c r="AA28">
        <v>6</v>
      </c>
      <c r="AB28">
        <v>3</v>
      </c>
      <c r="AC28">
        <v>2</v>
      </c>
      <c r="AD28">
        <v>1</v>
      </c>
      <c r="AE28">
        <v>2</v>
      </c>
      <c r="AF28">
        <v>-1</v>
      </c>
      <c r="AG28">
        <v>0</v>
      </c>
      <c r="AH28">
        <v>0</v>
      </c>
      <c r="AI28">
        <v>0</v>
      </c>
      <c r="AJ28">
        <v>0</v>
      </c>
      <c r="AK28">
        <v>-3.8140346703585202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4.0999999999999996</v>
      </c>
      <c r="AR28">
        <v>4.0999999999999996</v>
      </c>
    </row>
    <row r="29" spans="1:44" x14ac:dyDescent="0.35">
      <c r="A29" t="s">
        <v>122</v>
      </c>
      <c r="B29" t="s">
        <v>123</v>
      </c>
      <c r="C29" t="s">
        <v>124</v>
      </c>
      <c r="D29" t="s">
        <v>47</v>
      </c>
      <c r="E29">
        <v>2026</v>
      </c>
      <c r="F29">
        <v>1</v>
      </c>
      <c r="G29" t="s">
        <v>48</v>
      </c>
      <c r="H29" t="s">
        <v>49</v>
      </c>
      <c r="I29" t="s">
        <v>51</v>
      </c>
      <c r="J29" t="s">
        <v>50</v>
      </c>
      <c r="K29">
        <v>12</v>
      </c>
      <c r="L29">
        <v>22</v>
      </c>
      <c r="M29">
        <v>143</v>
      </c>
      <c r="N29">
        <v>1</v>
      </c>
      <c r="O29">
        <v>2</v>
      </c>
      <c r="P29">
        <v>4</v>
      </c>
      <c r="Q29">
        <v>-25</v>
      </c>
      <c r="R29">
        <v>0</v>
      </c>
      <c r="S29">
        <v>0</v>
      </c>
      <c r="T29">
        <v>77</v>
      </c>
      <c r="U29">
        <v>118</v>
      </c>
      <c r="V29">
        <v>4</v>
      </c>
      <c r="W29">
        <v>-15.7645474334581</v>
      </c>
      <c r="X29">
        <v>-10.4180133656452</v>
      </c>
      <c r="Y29">
        <v>0</v>
      </c>
      <c r="Z29">
        <v>1.8571428571428601</v>
      </c>
      <c r="AA29">
        <v>5</v>
      </c>
      <c r="AB29">
        <v>4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5.72</v>
      </c>
      <c r="AR29">
        <v>5.72</v>
      </c>
    </row>
    <row r="30" spans="1:44" x14ac:dyDescent="0.35">
      <c r="A30" t="s">
        <v>188</v>
      </c>
      <c r="B30" t="s">
        <v>125</v>
      </c>
      <c r="C30" t="s">
        <v>189</v>
      </c>
      <c r="D30" t="s">
        <v>47</v>
      </c>
      <c r="E30">
        <v>2026</v>
      </c>
      <c r="F30">
        <v>1</v>
      </c>
      <c r="G30" t="s">
        <v>48</v>
      </c>
      <c r="H30" t="s">
        <v>70</v>
      </c>
      <c r="I30" t="s">
        <v>72</v>
      </c>
      <c r="J30" t="s">
        <v>71</v>
      </c>
      <c r="K30">
        <v>19</v>
      </c>
      <c r="L30">
        <v>32</v>
      </c>
      <c r="M30">
        <v>140</v>
      </c>
      <c r="N30">
        <v>1</v>
      </c>
      <c r="O30">
        <v>0</v>
      </c>
      <c r="P30">
        <v>3</v>
      </c>
      <c r="Q30">
        <v>-13</v>
      </c>
      <c r="R30">
        <v>0</v>
      </c>
      <c r="S30">
        <v>0</v>
      </c>
      <c r="T30">
        <v>190</v>
      </c>
      <c r="U30">
        <v>78</v>
      </c>
      <c r="V30">
        <v>6</v>
      </c>
      <c r="W30">
        <v>-7.3512537455320404</v>
      </c>
      <c r="X30">
        <v>0.38974647011075703</v>
      </c>
      <c r="Y30">
        <v>0</v>
      </c>
      <c r="Z30">
        <v>0.73684210526315796</v>
      </c>
      <c r="AA30">
        <v>6</v>
      </c>
      <c r="AB30">
        <v>0</v>
      </c>
      <c r="AC30">
        <v>0</v>
      </c>
      <c r="AD30">
        <v>0</v>
      </c>
      <c r="AE30">
        <v>4</v>
      </c>
      <c r="AF30">
        <v>21</v>
      </c>
      <c r="AG30">
        <v>0</v>
      </c>
      <c r="AH30">
        <v>0</v>
      </c>
      <c r="AI30">
        <v>0</v>
      </c>
      <c r="AJ30">
        <v>2</v>
      </c>
      <c r="AK30">
        <v>2.4989735005656302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11.7</v>
      </c>
      <c r="AR30">
        <v>11.7</v>
      </c>
    </row>
    <row r="31" spans="1:44" x14ac:dyDescent="0.35">
      <c r="A31" t="s">
        <v>100</v>
      </c>
      <c r="B31" t="s">
        <v>101</v>
      </c>
      <c r="C31" t="s">
        <v>102</v>
      </c>
      <c r="D31" t="s">
        <v>47</v>
      </c>
      <c r="E31">
        <v>2026</v>
      </c>
      <c r="F31">
        <v>1</v>
      </c>
      <c r="G31" t="s">
        <v>48</v>
      </c>
      <c r="H31" t="s">
        <v>67</v>
      </c>
      <c r="I31" t="s">
        <v>68</v>
      </c>
      <c r="J31" t="s">
        <v>69</v>
      </c>
      <c r="K31">
        <v>12</v>
      </c>
      <c r="L31">
        <v>19</v>
      </c>
      <c r="M31">
        <v>133</v>
      </c>
      <c r="N31">
        <v>3</v>
      </c>
      <c r="O31">
        <v>0</v>
      </c>
      <c r="P31">
        <v>3</v>
      </c>
      <c r="Q31">
        <v>-19</v>
      </c>
      <c r="R31">
        <v>0</v>
      </c>
      <c r="S31">
        <v>0</v>
      </c>
      <c r="T31">
        <v>141</v>
      </c>
      <c r="U31">
        <v>29</v>
      </c>
      <c r="V31">
        <v>7</v>
      </c>
      <c r="W31">
        <v>4.9871116107931002</v>
      </c>
      <c r="X31">
        <v>-7.2613516920491303</v>
      </c>
      <c r="Y31">
        <v>1</v>
      </c>
      <c r="Z31">
        <v>0.94326241134751798</v>
      </c>
      <c r="AA31">
        <v>4</v>
      </c>
      <c r="AB31">
        <v>3</v>
      </c>
      <c r="AC31">
        <v>1</v>
      </c>
      <c r="AD31">
        <v>0</v>
      </c>
      <c r="AE31">
        <v>5</v>
      </c>
      <c r="AF31">
        <v>-1</v>
      </c>
      <c r="AG31">
        <v>0</v>
      </c>
      <c r="AH31">
        <v>0</v>
      </c>
      <c r="AI31">
        <v>0</v>
      </c>
      <c r="AJ31">
        <v>1</v>
      </c>
      <c r="AK31">
        <v>4.5394279994070502E-2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19.22</v>
      </c>
      <c r="AR31">
        <v>19.22</v>
      </c>
    </row>
    <row r="32" spans="1:44" x14ac:dyDescent="0.35">
      <c r="A32" t="s">
        <v>138</v>
      </c>
      <c r="B32" t="s">
        <v>139</v>
      </c>
      <c r="C32" t="s">
        <v>140</v>
      </c>
      <c r="D32" t="s">
        <v>47</v>
      </c>
      <c r="E32">
        <v>2026</v>
      </c>
      <c r="F32">
        <v>1</v>
      </c>
      <c r="G32" t="s">
        <v>48</v>
      </c>
      <c r="H32" t="s">
        <v>67</v>
      </c>
      <c r="I32" t="s">
        <v>68</v>
      </c>
      <c r="J32" t="s">
        <v>69</v>
      </c>
      <c r="K32">
        <v>3</v>
      </c>
      <c r="L32">
        <v>5</v>
      </c>
      <c r="M32">
        <v>18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35</v>
      </c>
      <c r="U32">
        <v>17</v>
      </c>
      <c r="V32">
        <v>1</v>
      </c>
      <c r="W32">
        <v>-4.4682948470581296</v>
      </c>
      <c r="X32">
        <v>6.3588991761207598</v>
      </c>
      <c r="Y32">
        <v>0</v>
      </c>
      <c r="Z32">
        <v>0.51428571428571401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9</v>
      </c>
      <c r="AG32">
        <v>0</v>
      </c>
      <c r="AH32">
        <v>0</v>
      </c>
      <c r="AI32">
        <v>0</v>
      </c>
      <c r="AJ32">
        <v>0</v>
      </c>
      <c r="AK32">
        <v>2.2909978239331399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-0.38</v>
      </c>
      <c r="AR32">
        <v>-0.38</v>
      </c>
    </row>
    <row r="33" spans="1:44" x14ac:dyDescent="0.35">
      <c r="A33" t="s">
        <v>134</v>
      </c>
      <c r="B33" t="s">
        <v>135</v>
      </c>
      <c r="C33" t="s">
        <v>136</v>
      </c>
      <c r="D33" t="s">
        <v>47</v>
      </c>
      <c r="E33">
        <v>2026</v>
      </c>
      <c r="F33">
        <v>1</v>
      </c>
      <c r="G33" t="s">
        <v>48</v>
      </c>
      <c r="H33" t="s">
        <v>88</v>
      </c>
      <c r="I33" t="s">
        <v>90</v>
      </c>
      <c r="J33" t="s">
        <v>89</v>
      </c>
      <c r="K33">
        <v>1</v>
      </c>
      <c r="L33">
        <v>2</v>
      </c>
      <c r="M33">
        <v>13</v>
      </c>
      <c r="N33">
        <v>0</v>
      </c>
      <c r="O33">
        <v>0</v>
      </c>
      <c r="P33">
        <v>1</v>
      </c>
      <c r="Q33">
        <v>-5</v>
      </c>
      <c r="R33">
        <v>0</v>
      </c>
      <c r="S33">
        <v>0</v>
      </c>
      <c r="T33">
        <v>15</v>
      </c>
      <c r="U33">
        <v>2</v>
      </c>
      <c r="V33">
        <v>1</v>
      </c>
      <c r="W33">
        <v>-2.0761460470966999</v>
      </c>
      <c r="X33">
        <v>-24.211341142654401</v>
      </c>
      <c r="Y33">
        <v>0</v>
      </c>
      <c r="Z33">
        <v>0.86666666666666703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0.52</v>
      </c>
      <c r="AR33">
        <v>0.52</v>
      </c>
    </row>
    <row r="34" spans="1:44" x14ac:dyDescent="0.35">
      <c r="A34" t="s">
        <v>171</v>
      </c>
      <c r="B34" t="s">
        <v>172</v>
      </c>
      <c r="C34" t="s">
        <v>173</v>
      </c>
      <c r="D34" t="s">
        <v>47</v>
      </c>
      <c r="E34">
        <v>2026</v>
      </c>
      <c r="F34">
        <v>1</v>
      </c>
      <c r="G34" t="s">
        <v>48</v>
      </c>
      <c r="H34" t="s">
        <v>58</v>
      </c>
      <c r="I34" t="s">
        <v>59</v>
      </c>
      <c r="J34" t="s">
        <v>60</v>
      </c>
      <c r="K34">
        <v>2</v>
      </c>
      <c r="L34">
        <v>3</v>
      </c>
      <c r="M34">
        <v>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</v>
      </c>
      <c r="U34">
        <v>3</v>
      </c>
      <c r="V34">
        <v>1</v>
      </c>
      <c r="W34">
        <v>0.18887018709210701</v>
      </c>
      <c r="X34">
        <v>-5.1704764366149902</v>
      </c>
      <c r="Y34">
        <v>0</v>
      </c>
      <c r="Z34">
        <v>0.565217391304348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9</v>
      </c>
      <c r="AG34">
        <v>0</v>
      </c>
      <c r="AH34">
        <v>0</v>
      </c>
      <c r="AI34">
        <v>0</v>
      </c>
      <c r="AJ34">
        <v>1</v>
      </c>
      <c r="AK34">
        <v>0.83190678886603597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1.42</v>
      </c>
      <c r="AR34">
        <v>1.42</v>
      </c>
    </row>
    <row r="35" spans="1:44" x14ac:dyDescent="0.35">
      <c r="A35" t="s">
        <v>115</v>
      </c>
      <c r="B35" t="s">
        <v>116</v>
      </c>
      <c r="C35" t="s">
        <v>117</v>
      </c>
      <c r="D35" t="s">
        <v>47</v>
      </c>
      <c r="E35">
        <v>2026</v>
      </c>
      <c r="F35">
        <v>1</v>
      </c>
      <c r="G35" t="s">
        <v>48</v>
      </c>
      <c r="H35" t="s">
        <v>97</v>
      </c>
      <c r="I35" t="s">
        <v>98</v>
      </c>
      <c r="J35" t="s">
        <v>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-3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-0.3</v>
      </c>
      <c r="AR35">
        <v>-0.3</v>
      </c>
    </row>
    <row r="36" spans="1:44" x14ac:dyDescent="0.35">
      <c r="A36" t="s">
        <v>164</v>
      </c>
      <c r="B36" t="s">
        <v>165</v>
      </c>
      <c r="C36" t="s">
        <v>166</v>
      </c>
      <c r="D36" t="s">
        <v>47</v>
      </c>
      <c r="E36">
        <v>2026</v>
      </c>
      <c r="F36">
        <v>1</v>
      </c>
      <c r="G36" t="s">
        <v>48</v>
      </c>
      <c r="H36" t="s">
        <v>76</v>
      </c>
      <c r="I36" t="s">
        <v>77</v>
      </c>
      <c r="J36" t="s">
        <v>78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-0.38113494333811099</v>
      </c>
      <c r="X36">
        <v>-77.157205343246503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24</v>
      </c>
      <c r="AG36">
        <v>0</v>
      </c>
      <c r="AH36">
        <v>0</v>
      </c>
      <c r="AI36">
        <v>0</v>
      </c>
      <c r="AJ36">
        <v>1</v>
      </c>
      <c r="AK36">
        <v>1.6777517596492499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2.4</v>
      </c>
      <c r="AR36">
        <v>2.4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98FC-F082-4854-AE25-D73F2F1DB1C4}">
  <dimension ref="A1"/>
  <sheetViews>
    <sheetView workbookViewId="0">
      <selection activeCell="P11" sqref="P11"/>
    </sheetView>
  </sheetViews>
  <sheetFormatPr defaultRowHeight="14.5" x14ac:dyDescent="0.35"/>
  <cols>
    <col min="2" max="2" width="14.08984375" bestFit="1" customWidth="1"/>
    <col min="3" max="3" width="19" bestFit="1" customWidth="1"/>
    <col min="4" max="4" width="21.6328125" bestFit="1" customWidth="1"/>
    <col min="5" max="5" width="3.90625" bestFit="1" customWidth="1"/>
    <col min="6" max="6" width="4.1796875" bestFit="1" customWidth="1"/>
    <col min="7" max="7" width="4.36328125" bestFit="1" customWidth="1"/>
    <col min="8" max="9" width="3.90625" bestFit="1" customWidth="1"/>
    <col min="10" max="10" width="4" bestFit="1" customWidth="1"/>
    <col min="11" max="11" width="4.08984375" bestFit="1" customWidth="1"/>
    <col min="12" max="12" width="4" bestFit="1" customWidth="1"/>
    <col min="13" max="13" width="3.1796875" bestFit="1" customWidth="1"/>
    <col min="14" max="14" width="4.6328125" bestFit="1" customWidth="1"/>
    <col min="15" max="15" width="3.90625" bestFit="1" customWidth="1"/>
    <col min="16" max="16" width="3.6328125" bestFit="1" customWidth="1"/>
    <col min="17" max="17" width="2.81640625" bestFit="1" customWidth="1"/>
    <col min="18" max="18" width="4.08984375" bestFit="1" customWidth="1"/>
    <col min="19" max="19" width="2.81640625" bestFit="1" customWidth="1"/>
    <col min="20" max="20" width="3.90625" bestFit="1" customWidth="1"/>
    <col min="21" max="21" width="4.08984375" bestFit="1" customWidth="1"/>
    <col min="22" max="22" width="3.08984375" bestFit="1" customWidth="1"/>
    <col min="23" max="23" width="3.36328125" bestFit="1" customWidth="1"/>
    <col min="24" max="24" width="4.453125" bestFit="1" customWidth="1"/>
    <col min="25" max="25" width="3.81640625" bestFit="1" customWidth="1"/>
    <col min="26" max="26" width="3.7265625" bestFit="1" customWidth="1"/>
    <col min="27" max="27" width="3.36328125" bestFit="1" customWidth="1"/>
    <col min="28" max="28" width="4" bestFit="1" customWidth="1"/>
    <col min="29" max="29" width="2.90625" bestFit="1" customWidth="1"/>
    <col min="30" max="30" width="3.81640625" bestFit="1" customWidth="1"/>
    <col min="31" max="31" width="4" bestFit="1" customWidth="1"/>
    <col min="32" max="32" width="4.6328125" bestFit="1" customWidth="1"/>
    <col min="33" max="33" width="10.36328125" bestFit="1" customWidth="1"/>
    <col min="34" max="36" width="15.6328125" bestFit="1" customWidth="1"/>
    <col min="37" max="37" width="10.36328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4C69-6F1B-4E8A-AC60-4A2D98795AA9}">
  <dimension ref="B2:P63"/>
  <sheetViews>
    <sheetView tabSelected="1" topLeftCell="D24" workbookViewId="0">
      <selection activeCell="M38" sqref="M38"/>
    </sheetView>
  </sheetViews>
  <sheetFormatPr defaultRowHeight="14.5" x14ac:dyDescent="0.35"/>
  <cols>
    <col min="1" max="1" width="3.6328125" customWidth="1"/>
    <col min="2" max="2" width="17.26953125" customWidth="1"/>
    <col min="3" max="3" width="10" customWidth="1"/>
    <col min="4" max="4" width="9.08984375" customWidth="1"/>
    <col min="5" max="5" width="10.90625" customWidth="1"/>
    <col min="6" max="6" width="8.1796875" customWidth="1"/>
    <col min="7" max="7" width="10.90625" customWidth="1"/>
    <col min="8" max="9" width="9.08984375" customWidth="1"/>
    <col min="10" max="12" width="10" customWidth="1"/>
    <col min="13" max="13" width="11.81640625" customWidth="1"/>
    <col min="14" max="14" width="13.6328125" customWidth="1"/>
    <col min="15" max="15" width="9.08984375" customWidth="1"/>
    <col min="16" max="16" width="10.90625" customWidth="1"/>
  </cols>
  <sheetData>
    <row r="2" spans="2:16" ht="29" x14ac:dyDescent="0.35">
      <c r="B2" s="3" t="s">
        <v>199</v>
      </c>
      <c r="C2" s="5" t="s">
        <v>200</v>
      </c>
      <c r="D2" s="5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4" t="s">
        <v>206</v>
      </c>
      <c r="J2" s="3" t="s">
        <v>207</v>
      </c>
      <c r="K2" s="4" t="s">
        <v>208</v>
      </c>
      <c r="L2" s="3" t="s">
        <v>209</v>
      </c>
      <c r="M2" s="4" t="s">
        <v>210</v>
      </c>
      <c r="N2" s="4" t="s">
        <v>211</v>
      </c>
      <c r="O2" s="3" t="s">
        <v>212</v>
      </c>
      <c r="P2" s="3" t="s">
        <v>213</v>
      </c>
    </row>
    <row r="3" spans="2:16" x14ac:dyDescent="0.35">
      <c r="B3" t="s">
        <v>214</v>
      </c>
      <c r="C3" s="6">
        <v>44835</v>
      </c>
      <c r="D3" s="6">
        <v>44837</v>
      </c>
      <c r="E3" s="7" t="s">
        <v>215</v>
      </c>
      <c r="F3">
        <v>2</v>
      </c>
      <c r="G3" s="8"/>
      <c r="H3" s="8"/>
      <c r="I3" s="8"/>
      <c r="J3" s="8">
        <v>761.95</v>
      </c>
      <c r="K3" s="8">
        <v>28</v>
      </c>
      <c r="L3" s="8">
        <v>235.59</v>
      </c>
      <c r="M3" s="8">
        <v>88.56</v>
      </c>
      <c r="N3" s="8"/>
      <c r="O3" s="8"/>
      <c r="P3" s="8">
        <v>1114.0999999999999</v>
      </c>
    </row>
    <row r="4" spans="2:16" x14ac:dyDescent="0.35">
      <c r="B4" t="s">
        <v>227</v>
      </c>
      <c r="C4" s="6">
        <v>44836</v>
      </c>
      <c r="D4" s="6">
        <v>44839</v>
      </c>
      <c r="E4" s="7" t="s">
        <v>215</v>
      </c>
      <c r="F4">
        <v>3</v>
      </c>
      <c r="G4" s="8">
        <v>102.15</v>
      </c>
      <c r="H4" s="8">
        <v>93.5</v>
      </c>
      <c r="I4" s="8">
        <v>25</v>
      </c>
      <c r="J4" s="8">
        <v>787.35</v>
      </c>
      <c r="K4" s="8"/>
      <c r="L4" s="8">
        <v>299.95</v>
      </c>
      <c r="M4" s="8">
        <v>150.1</v>
      </c>
      <c r="N4" s="8">
        <v>334</v>
      </c>
      <c r="O4" s="8"/>
      <c r="P4" s="8">
        <v>1792.05</v>
      </c>
    </row>
    <row r="5" spans="2:16" x14ac:dyDescent="0.35">
      <c r="B5" t="s">
        <v>229</v>
      </c>
      <c r="C5" s="6">
        <v>44838</v>
      </c>
      <c r="D5" s="6">
        <v>44842</v>
      </c>
      <c r="E5" s="7" t="s">
        <v>215</v>
      </c>
      <c r="F5">
        <v>4</v>
      </c>
      <c r="G5" s="8">
        <v>136.19999999999999</v>
      </c>
      <c r="H5" s="8">
        <v>156.4</v>
      </c>
      <c r="I5" s="8"/>
      <c r="J5" s="8">
        <v>578.95000000000005</v>
      </c>
      <c r="K5" s="8"/>
      <c r="L5" s="8">
        <v>427.2</v>
      </c>
      <c r="M5" s="8">
        <v>220.22</v>
      </c>
      <c r="N5" s="8">
        <v>71</v>
      </c>
      <c r="O5" s="8"/>
      <c r="P5" s="8">
        <v>1589.97</v>
      </c>
    </row>
    <row r="6" spans="2:16" x14ac:dyDescent="0.35">
      <c r="B6" t="s">
        <v>216</v>
      </c>
      <c r="C6" s="6">
        <v>44837</v>
      </c>
      <c r="D6" s="6">
        <v>44842</v>
      </c>
      <c r="E6" s="7" t="s">
        <v>215</v>
      </c>
      <c r="F6">
        <v>5</v>
      </c>
      <c r="G6" s="8">
        <v>170.25</v>
      </c>
      <c r="H6" s="8">
        <v>92.65</v>
      </c>
      <c r="I6" s="8">
        <v>33</v>
      </c>
      <c r="J6" s="8"/>
      <c r="K6" s="8"/>
      <c r="L6" s="8">
        <v>609.14</v>
      </c>
      <c r="M6" s="8">
        <v>215.96</v>
      </c>
      <c r="N6" s="8"/>
      <c r="O6" s="8"/>
      <c r="P6" s="8">
        <v>1121</v>
      </c>
    </row>
    <row r="7" spans="2:16" x14ac:dyDescent="0.35">
      <c r="B7" t="s">
        <v>223</v>
      </c>
      <c r="C7" s="6">
        <v>44837</v>
      </c>
      <c r="D7" s="6">
        <v>44843</v>
      </c>
      <c r="E7" s="7" t="s">
        <v>215</v>
      </c>
      <c r="F7">
        <v>6</v>
      </c>
      <c r="G7" s="8">
        <v>204.3</v>
      </c>
      <c r="H7" s="8">
        <v>161.5</v>
      </c>
      <c r="I7" s="8"/>
      <c r="J7" s="8">
        <v>775.55</v>
      </c>
      <c r="K7" s="8"/>
      <c r="L7" s="8">
        <v>863.63</v>
      </c>
      <c r="M7" s="8">
        <v>210.18</v>
      </c>
      <c r="N7" s="8"/>
      <c r="O7" s="8"/>
      <c r="P7" s="8">
        <v>2215.16</v>
      </c>
    </row>
    <row r="8" spans="2:16" x14ac:dyDescent="0.35">
      <c r="B8" t="s">
        <v>224</v>
      </c>
      <c r="C8" s="6">
        <v>44838</v>
      </c>
      <c r="D8" s="6">
        <v>44845</v>
      </c>
      <c r="E8" s="7" t="s">
        <v>215</v>
      </c>
      <c r="F8">
        <v>7</v>
      </c>
      <c r="G8" s="8">
        <v>238.35</v>
      </c>
      <c r="H8" s="8">
        <v>73.099999999999994</v>
      </c>
      <c r="I8" s="8">
        <v>12</v>
      </c>
      <c r="J8" s="8">
        <v>611.15</v>
      </c>
      <c r="K8" s="8"/>
      <c r="L8" s="8">
        <v>818.85</v>
      </c>
      <c r="M8" s="8">
        <v>350.15</v>
      </c>
      <c r="N8" s="8"/>
      <c r="O8" s="8">
        <v>81.5</v>
      </c>
      <c r="P8" s="8">
        <v>2185.1</v>
      </c>
    </row>
    <row r="9" spans="2:16" x14ac:dyDescent="0.35">
      <c r="B9" t="s">
        <v>221</v>
      </c>
      <c r="C9" s="6">
        <v>44843</v>
      </c>
      <c r="D9" s="6">
        <v>44848</v>
      </c>
      <c r="E9" s="7" t="s">
        <v>215</v>
      </c>
      <c r="F9">
        <v>5</v>
      </c>
      <c r="G9" s="8">
        <v>170.25</v>
      </c>
      <c r="H9" s="8">
        <v>89.25</v>
      </c>
      <c r="I9" s="8">
        <v>15</v>
      </c>
      <c r="J9" s="8">
        <v>279.33</v>
      </c>
      <c r="K9" s="8"/>
      <c r="L9" s="8">
        <v>544.37</v>
      </c>
      <c r="M9" s="8">
        <v>235.37</v>
      </c>
      <c r="N9" s="8"/>
      <c r="O9" s="8"/>
      <c r="P9" s="8">
        <v>1333.57</v>
      </c>
    </row>
    <row r="10" spans="2:16" x14ac:dyDescent="0.35">
      <c r="B10" t="s">
        <v>216</v>
      </c>
      <c r="C10" s="6">
        <v>44847</v>
      </c>
      <c r="D10" s="6">
        <v>44849</v>
      </c>
      <c r="E10" s="7" t="s">
        <v>215</v>
      </c>
      <c r="F10">
        <v>2</v>
      </c>
      <c r="G10" s="8"/>
      <c r="H10" s="8"/>
      <c r="I10" s="8"/>
      <c r="J10" s="8">
        <v>256.58999999999997</v>
      </c>
      <c r="K10" s="8">
        <v>32</v>
      </c>
      <c r="L10" s="8">
        <v>325.98</v>
      </c>
      <c r="M10" s="8">
        <v>114.93</v>
      </c>
      <c r="N10" s="8">
        <v>860</v>
      </c>
      <c r="O10" s="8"/>
      <c r="P10" s="8">
        <v>1589.5</v>
      </c>
    </row>
    <row r="11" spans="2:16" x14ac:dyDescent="0.35">
      <c r="B11" t="s">
        <v>225</v>
      </c>
      <c r="C11" s="6">
        <v>44845</v>
      </c>
      <c r="D11" s="6">
        <v>44851</v>
      </c>
      <c r="E11" s="7" t="s">
        <v>215</v>
      </c>
      <c r="F11">
        <v>6</v>
      </c>
      <c r="G11" s="8">
        <v>204.3</v>
      </c>
      <c r="H11" s="8">
        <v>42.5</v>
      </c>
      <c r="I11" s="8">
        <v>35</v>
      </c>
      <c r="J11" s="8"/>
      <c r="K11" s="8"/>
      <c r="L11" s="8">
        <v>893.8</v>
      </c>
      <c r="M11" s="8">
        <v>258.23</v>
      </c>
      <c r="N11" s="8"/>
      <c r="O11" s="8"/>
      <c r="P11" s="8">
        <v>1433.83</v>
      </c>
    </row>
    <row r="12" spans="2:16" x14ac:dyDescent="0.35">
      <c r="B12" t="s">
        <v>217</v>
      </c>
      <c r="C12" s="6">
        <v>44846</v>
      </c>
      <c r="D12" s="6">
        <v>44852</v>
      </c>
      <c r="E12" s="7" t="s">
        <v>215</v>
      </c>
      <c r="F12">
        <v>6</v>
      </c>
      <c r="G12" s="8"/>
      <c r="H12" s="8"/>
      <c r="I12" s="8"/>
      <c r="J12" s="8">
        <v>458.31</v>
      </c>
      <c r="K12" s="8">
        <v>126</v>
      </c>
      <c r="L12" s="8">
        <v>737.87</v>
      </c>
      <c r="M12" s="8">
        <v>180.44</v>
      </c>
      <c r="N12" s="8"/>
      <c r="O12" s="8"/>
      <c r="P12" s="8">
        <v>1502.62</v>
      </c>
    </row>
    <row r="13" spans="2:16" x14ac:dyDescent="0.35">
      <c r="B13" t="s">
        <v>223</v>
      </c>
      <c r="C13" s="6">
        <v>44848</v>
      </c>
      <c r="D13" s="6">
        <v>44855</v>
      </c>
      <c r="E13" s="7" t="s">
        <v>215</v>
      </c>
      <c r="F13">
        <v>7</v>
      </c>
      <c r="G13" s="8">
        <v>238.35</v>
      </c>
      <c r="H13" s="8">
        <v>91.8</v>
      </c>
      <c r="I13" s="8"/>
      <c r="J13" s="8">
        <v>478.36</v>
      </c>
      <c r="K13" s="8"/>
      <c r="L13" s="8">
        <v>993.9</v>
      </c>
      <c r="M13" s="8">
        <v>308.2</v>
      </c>
      <c r="N13" s="8">
        <v>39</v>
      </c>
      <c r="O13" s="8"/>
      <c r="P13" s="8">
        <v>2149.61</v>
      </c>
    </row>
    <row r="14" spans="2:16" x14ac:dyDescent="0.35">
      <c r="B14" t="s">
        <v>230</v>
      </c>
      <c r="C14" s="6">
        <v>44849</v>
      </c>
      <c r="D14" s="6">
        <v>44855</v>
      </c>
      <c r="E14" s="7" t="s">
        <v>215</v>
      </c>
      <c r="F14">
        <v>6</v>
      </c>
      <c r="G14" s="8">
        <v>204.3</v>
      </c>
      <c r="H14" s="8">
        <v>112.2</v>
      </c>
      <c r="I14" s="8">
        <v>22</v>
      </c>
      <c r="J14" s="8">
        <v>799.6</v>
      </c>
      <c r="K14" s="8"/>
      <c r="L14" s="8">
        <v>785.69</v>
      </c>
      <c r="M14" s="8">
        <v>288.42</v>
      </c>
      <c r="N14" s="8"/>
      <c r="O14" s="8"/>
      <c r="P14" s="8">
        <v>2212.21</v>
      </c>
    </row>
    <row r="15" spans="2:16" x14ac:dyDescent="0.35">
      <c r="B15" t="s">
        <v>218</v>
      </c>
      <c r="C15" s="6">
        <v>44849</v>
      </c>
      <c r="D15" s="6">
        <v>44856</v>
      </c>
      <c r="E15" s="7" t="s">
        <v>215</v>
      </c>
      <c r="F15">
        <v>7</v>
      </c>
      <c r="G15" s="8"/>
      <c r="H15" s="8"/>
      <c r="I15" s="8"/>
      <c r="J15" s="8">
        <v>438.82</v>
      </c>
      <c r="K15" s="8">
        <v>154</v>
      </c>
      <c r="L15" s="8">
        <v>860.69</v>
      </c>
      <c r="M15" s="8">
        <v>252.68</v>
      </c>
      <c r="N15" s="8">
        <v>495</v>
      </c>
      <c r="O15" s="8">
        <v>68.81</v>
      </c>
      <c r="P15" s="8">
        <v>2270</v>
      </c>
    </row>
    <row r="16" spans="2:16" x14ac:dyDescent="0.35">
      <c r="B16" t="s">
        <v>232</v>
      </c>
      <c r="C16" s="6">
        <v>44852</v>
      </c>
      <c r="D16" s="6">
        <v>44858</v>
      </c>
      <c r="E16" s="7" t="s">
        <v>215</v>
      </c>
      <c r="F16">
        <v>6</v>
      </c>
      <c r="G16" s="8">
        <v>204.3</v>
      </c>
      <c r="H16" s="8">
        <v>146.19999999999999</v>
      </c>
      <c r="I16" s="8">
        <v>19</v>
      </c>
      <c r="J16" s="8"/>
      <c r="K16" s="8"/>
      <c r="L16" s="8">
        <v>923.98</v>
      </c>
      <c r="M16" s="8">
        <v>258.76</v>
      </c>
      <c r="N16" s="8"/>
      <c r="O16" s="8"/>
      <c r="P16" s="8">
        <v>1552.24</v>
      </c>
    </row>
    <row r="17" spans="2:16" x14ac:dyDescent="0.35">
      <c r="B17" t="s">
        <v>228</v>
      </c>
      <c r="C17" s="6">
        <v>44853</v>
      </c>
      <c r="D17" s="6">
        <v>44858</v>
      </c>
      <c r="E17" s="7" t="s">
        <v>215</v>
      </c>
      <c r="F17">
        <v>5</v>
      </c>
      <c r="G17" s="8">
        <v>170.25</v>
      </c>
      <c r="H17" s="8">
        <v>166.6</v>
      </c>
      <c r="I17" s="8">
        <v>33</v>
      </c>
      <c r="J17" s="8">
        <v>558.80999999999995</v>
      </c>
      <c r="K17" s="8"/>
      <c r="L17" s="8">
        <v>814.46</v>
      </c>
      <c r="M17" s="8">
        <v>155.47999999999999</v>
      </c>
      <c r="N17" s="8"/>
      <c r="O17" s="8"/>
      <c r="P17" s="8">
        <v>1898.6</v>
      </c>
    </row>
    <row r="18" spans="2:16" x14ac:dyDescent="0.35">
      <c r="B18" t="s">
        <v>219</v>
      </c>
      <c r="C18" s="6">
        <v>44854</v>
      </c>
      <c r="D18" s="6">
        <v>44861</v>
      </c>
      <c r="E18" s="7" t="s">
        <v>215</v>
      </c>
      <c r="F18">
        <v>7</v>
      </c>
      <c r="G18" s="8"/>
      <c r="H18" s="8"/>
      <c r="I18" s="8"/>
      <c r="J18" s="8">
        <v>424.56</v>
      </c>
      <c r="K18" s="8">
        <v>112</v>
      </c>
      <c r="L18" s="8">
        <v>951.96</v>
      </c>
      <c r="M18" s="8">
        <v>343.83</v>
      </c>
      <c r="N18" s="8"/>
      <c r="O18" s="8"/>
      <c r="P18" s="8">
        <v>1832.35</v>
      </c>
    </row>
    <row r="19" spans="2:16" x14ac:dyDescent="0.35">
      <c r="B19" t="s">
        <v>231</v>
      </c>
      <c r="C19" s="6">
        <v>44859</v>
      </c>
      <c r="D19" s="6">
        <v>44863</v>
      </c>
      <c r="E19" s="7" t="s">
        <v>215</v>
      </c>
      <c r="F19">
        <v>4</v>
      </c>
      <c r="G19" s="8">
        <v>136.19999999999999</v>
      </c>
      <c r="H19" s="8">
        <v>25.5</v>
      </c>
      <c r="I19" s="8">
        <v>30</v>
      </c>
      <c r="J19" s="8">
        <v>542.71</v>
      </c>
      <c r="K19" s="8"/>
      <c r="L19" s="8">
        <v>563.11</v>
      </c>
      <c r="M19" s="8">
        <v>196.11</v>
      </c>
      <c r="N19" s="8"/>
      <c r="O19" s="8"/>
      <c r="P19" s="8">
        <v>1493.63</v>
      </c>
    </row>
    <row r="20" spans="2:16" x14ac:dyDescent="0.35">
      <c r="B20" t="s">
        <v>217</v>
      </c>
      <c r="C20" s="6">
        <v>44860</v>
      </c>
      <c r="D20" s="6">
        <v>44863</v>
      </c>
      <c r="E20" s="7" t="s">
        <v>215</v>
      </c>
      <c r="F20">
        <v>3</v>
      </c>
      <c r="G20" s="8"/>
      <c r="H20" s="8"/>
      <c r="I20" s="8"/>
      <c r="J20" s="8">
        <v>641.52</v>
      </c>
      <c r="K20" s="8">
        <v>57</v>
      </c>
      <c r="L20" s="8">
        <v>311.60000000000002</v>
      </c>
      <c r="M20" s="8">
        <v>93.5</v>
      </c>
      <c r="N20" s="8">
        <v>334</v>
      </c>
      <c r="O20" s="8"/>
      <c r="P20" s="8">
        <v>1437.62</v>
      </c>
    </row>
    <row r="21" spans="2:16" x14ac:dyDescent="0.35">
      <c r="B21" t="s">
        <v>225</v>
      </c>
      <c r="C21" s="6">
        <v>44861</v>
      </c>
      <c r="D21" s="6">
        <v>44863</v>
      </c>
      <c r="E21" s="7" t="s">
        <v>215</v>
      </c>
      <c r="F21">
        <v>2</v>
      </c>
      <c r="G21" s="8">
        <v>68.099999999999994</v>
      </c>
      <c r="H21" s="8">
        <v>102</v>
      </c>
      <c r="I21" s="8">
        <v>18</v>
      </c>
      <c r="J21" s="8"/>
      <c r="K21" s="8"/>
      <c r="L21" s="8">
        <v>267.16000000000003</v>
      </c>
      <c r="M21" s="8">
        <v>100.87</v>
      </c>
      <c r="N21" s="8"/>
      <c r="O21" s="8">
        <v>10.68</v>
      </c>
      <c r="P21" s="8">
        <v>566.80999999999995</v>
      </c>
    </row>
    <row r="22" spans="2:16" x14ac:dyDescent="0.35">
      <c r="B22" t="s">
        <v>220</v>
      </c>
      <c r="C22" s="6">
        <v>44858</v>
      </c>
      <c r="D22" s="6">
        <v>44863</v>
      </c>
      <c r="E22" s="7" t="s">
        <v>215</v>
      </c>
      <c r="F22">
        <v>5</v>
      </c>
      <c r="G22" s="8"/>
      <c r="H22" s="8"/>
      <c r="I22" s="8"/>
      <c r="J22" s="8">
        <v>774.46</v>
      </c>
      <c r="K22" s="8">
        <v>70</v>
      </c>
      <c r="L22" s="8">
        <v>624.62</v>
      </c>
      <c r="M22" s="8">
        <v>285.87</v>
      </c>
      <c r="N22" s="8">
        <v>651</v>
      </c>
      <c r="O22" s="8"/>
      <c r="P22" s="8">
        <v>2405.9499999999998</v>
      </c>
    </row>
    <row r="23" spans="2:16" x14ac:dyDescent="0.35">
      <c r="B23" t="s">
        <v>219</v>
      </c>
      <c r="C23" s="6">
        <v>44869</v>
      </c>
      <c r="D23" s="6">
        <v>44870</v>
      </c>
      <c r="E23" t="s">
        <v>222</v>
      </c>
      <c r="F23">
        <v>1</v>
      </c>
      <c r="G23" s="8">
        <v>34.049999999999997</v>
      </c>
      <c r="H23" s="8">
        <v>90.1</v>
      </c>
      <c r="I23" s="8">
        <v>16</v>
      </c>
      <c r="J23" s="8"/>
      <c r="K23" s="8"/>
      <c r="L23" s="8">
        <v>129.13</v>
      </c>
      <c r="M23" s="8">
        <v>56.43</v>
      </c>
      <c r="N23" s="8"/>
      <c r="O23" s="8"/>
      <c r="P23" s="8">
        <v>325.70999999999998</v>
      </c>
    </row>
    <row r="24" spans="2:16" x14ac:dyDescent="0.35">
      <c r="B24" t="s">
        <v>221</v>
      </c>
      <c r="C24" s="6">
        <v>44868</v>
      </c>
      <c r="D24" s="6">
        <v>44871</v>
      </c>
      <c r="E24" t="s">
        <v>222</v>
      </c>
      <c r="F24">
        <v>3</v>
      </c>
      <c r="G24" s="8"/>
      <c r="H24" s="8"/>
      <c r="I24" s="8"/>
      <c r="J24" s="8">
        <v>364.46</v>
      </c>
      <c r="K24" s="8">
        <v>63</v>
      </c>
      <c r="L24" s="8">
        <v>437.55</v>
      </c>
      <c r="M24" s="8">
        <v>138.9</v>
      </c>
      <c r="N24" s="8">
        <v>119</v>
      </c>
      <c r="O24" s="8"/>
      <c r="P24" s="8">
        <v>1122.9100000000001</v>
      </c>
    </row>
    <row r="25" spans="2:16" x14ac:dyDescent="0.35">
      <c r="B25" t="s">
        <v>231</v>
      </c>
      <c r="C25" s="6">
        <v>44871</v>
      </c>
      <c r="D25" s="6">
        <v>44875</v>
      </c>
      <c r="E25" t="s">
        <v>222</v>
      </c>
      <c r="F25">
        <v>4</v>
      </c>
      <c r="G25" s="8">
        <v>136.19999999999999</v>
      </c>
      <c r="H25" s="8">
        <v>110.5</v>
      </c>
      <c r="I25" s="8">
        <v>80</v>
      </c>
      <c r="J25" s="8"/>
      <c r="K25" s="8"/>
      <c r="L25" s="8">
        <v>447.57</v>
      </c>
      <c r="M25" s="8">
        <v>160.57</v>
      </c>
      <c r="N25" s="8"/>
      <c r="O25" s="8"/>
      <c r="P25" s="8">
        <v>934.84</v>
      </c>
    </row>
    <row r="26" spans="2:16" x14ac:dyDescent="0.35">
      <c r="B26" t="s">
        <v>224</v>
      </c>
      <c r="C26" s="6">
        <v>44872</v>
      </c>
      <c r="D26" s="6">
        <v>44875</v>
      </c>
      <c r="E26" t="s">
        <v>222</v>
      </c>
      <c r="F26">
        <v>3</v>
      </c>
      <c r="G26" s="8">
        <v>102.15</v>
      </c>
      <c r="H26" s="8">
        <v>49.3</v>
      </c>
      <c r="I26" s="8">
        <v>42</v>
      </c>
      <c r="J26" s="8">
        <v>798.19</v>
      </c>
      <c r="K26" s="8">
        <v>93</v>
      </c>
      <c r="L26" s="8">
        <v>482.71</v>
      </c>
      <c r="M26" s="8">
        <v>111.97</v>
      </c>
      <c r="N26" s="8"/>
      <c r="O26" s="8"/>
      <c r="P26" s="8">
        <v>1679.32</v>
      </c>
    </row>
    <row r="27" spans="2:16" x14ac:dyDescent="0.35">
      <c r="B27" t="s">
        <v>220</v>
      </c>
      <c r="C27" s="6">
        <v>44875</v>
      </c>
      <c r="D27" s="6">
        <v>44880</v>
      </c>
      <c r="E27" t="s">
        <v>222</v>
      </c>
      <c r="F27">
        <v>5</v>
      </c>
      <c r="G27" s="8">
        <v>170.25</v>
      </c>
      <c r="H27" s="8">
        <v>160.65</v>
      </c>
      <c r="I27" s="8">
        <v>65</v>
      </c>
      <c r="J27" s="8">
        <v>351.54</v>
      </c>
      <c r="K27" s="8"/>
      <c r="L27" s="8">
        <v>604.91</v>
      </c>
      <c r="M27" s="8">
        <v>280.69</v>
      </c>
      <c r="N27" s="8"/>
      <c r="O27" s="8"/>
      <c r="P27" s="8">
        <v>1633.04</v>
      </c>
    </row>
    <row r="28" spans="2:16" x14ac:dyDescent="0.35">
      <c r="B28" t="s">
        <v>232</v>
      </c>
      <c r="C28" s="6">
        <v>44874</v>
      </c>
      <c r="D28" s="6">
        <v>44881</v>
      </c>
      <c r="E28" t="s">
        <v>222</v>
      </c>
      <c r="F28">
        <v>7</v>
      </c>
      <c r="G28" s="8">
        <v>238.35</v>
      </c>
      <c r="H28" s="8">
        <v>116.45</v>
      </c>
      <c r="I28" s="8">
        <v>84</v>
      </c>
      <c r="J28" s="8">
        <v>554.41999999999996</v>
      </c>
      <c r="K28" s="8"/>
      <c r="L28" s="8">
        <v>1000.14</v>
      </c>
      <c r="M28" s="8">
        <v>231.93</v>
      </c>
      <c r="N28" s="8"/>
      <c r="O28" s="8"/>
      <c r="P28" s="8">
        <v>2225.29</v>
      </c>
    </row>
    <row r="29" spans="2:16" x14ac:dyDescent="0.35">
      <c r="B29" t="s">
        <v>224</v>
      </c>
      <c r="C29" s="6">
        <v>44877</v>
      </c>
      <c r="D29" s="6">
        <v>44881</v>
      </c>
      <c r="E29" t="s">
        <v>222</v>
      </c>
      <c r="F29">
        <v>4</v>
      </c>
      <c r="G29" s="8">
        <v>136.19999999999999</v>
      </c>
      <c r="H29" s="8">
        <v>145.35</v>
      </c>
      <c r="I29" s="8">
        <v>48</v>
      </c>
      <c r="J29" s="8"/>
      <c r="K29" s="8"/>
      <c r="L29" s="8">
        <v>399.27</v>
      </c>
      <c r="M29" s="8">
        <v>172.24</v>
      </c>
      <c r="N29" s="8"/>
      <c r="O29" s="8"/>
      <c r="P29" s="8">
        <v>901.06</v>
      </c>
    </row>
    <row r="30" spans="2:16" x14ac:dyDescent="0.35">
      <c r="B30" t="s">
        <v>217</v>
      </c>
      <c r="C30" s="6">
        <v>44877</v>
      </c>
      <c r="D30" s="6">
        <v>44883</v>
      </c>
      <c r="E30" t="s">
        <v>222</v>
      </c>
      <c r="F30">
        <v>6</v>
      </c>
      <c r="G30" s="8">
        <v>204.3</v>
      </c>
      <c r="H30" s="8">
        <v>85.85</v>
      </c>
      <c r="I30" s="8">
        <v>120</v>
      </c>
      <c r="J30" s="8"/>
      <c r="K30" s="8">
        <v>156</v>
      </c>
      <c r="L30" s="8">
        <v>611.83000000000004</v>
      </c>
      <c r="M30" s="8">
        <v>198.71</v>
      </c>
      <c r="N30" s="8"/>
      <c r="O30" s="8"/>
      <c r="P30" s="8">
        <v>1376.69</v>
      </c>
    </row>
    <row r="31" spans="2:16" x14ac:dyDescent="0.35">
      <c r="B31" t="s">
        <v>219</v>
      </c>
      <c r="C31" s="6">
        <v>44877</v>
      </c>
      <c r="D31" s="6">
        <v>44883</v>
      </c>
      <c r="E31" t="s">
        <v>222</v>
      </c>
      <c r="F31">
        <v>6</v>
      </c>
      <c r="G31" s="8">
        <v>204.3</v>
      </c>
      <c r="H31" s="8">
        <v>145.35</v>
      </c>
      <c r="I31" s="8">
        <v>108</v>
      </c>
      <c r="J31" s="8"/>
      <c r="K31" s="8"/>
      <c r="L31" s="8">
        <v>671.32</v>
      </c>
      <c r="M31" s="8">
        <v>192.61</v>
      </c>
      <c r="N31" s="8"/>
      <c r="O31" s="8"/>
      <c r="P31" s="8">
        <v>1321.58</v>
      </c>
    </row>
    <row r="32" spans="2:16" x14ac:dyDescent="0.35">
      <c r="B32" t="s">
        <v>229</v>
      </c>
      <c r="C32" s="6">
        <v>44879</v>
      </c>
      <c r="D32" s="6">
        <v>44884</v>
      </c>
      <c r="E32" t="s">
        <v>222</v>
      </c>
      <c r="F32">
        <v>5</v>
      </c>
      <c r="G32" s="8">
        <v>170.25</v>
      </c>
      <c r="H32" s="8">
        <v>56.95</v>
      </c>
      <c r="I32" s="8">
        <v>65</v>
      </c>
      <c r="J32" s="8">
        <v>583.54</v>
      </c>
      <c r="K32" s="8"/>
      <c r="L32" s="8">
        <v>499.79</v>
      </c>
      <c r="M32" s="8">
        <v>180.86</v>
      </c>
      <c r="N32" s="8">
        <v>280</v>
      </c>
      <c r="O32" s="8"/>
      <c r="P32" s="8">
        <v>1836.39</v>
      </c>
    </row>
    <row r="33" spans="2:16" x14ac:dyDescent="0.35">
      <c r="B33" t="s">
        <v>227</v>
      </c>
      <c r="C33" s="6">
        <v>44884</v>
      </c>
      <c r="D33" s="6">
        <v>44886</v>
      </c>
      <c r="E33" t="s">
        <v>222</v>
      </c>
      <c r="F33">
        <v>2</v>
      </c>
      <c r="G33" s="8">
        <v>68.099999999999994</v>
      </c>
      <c r="H33" s="8">
        <v>64.599999999999994</v>
      </c>
      <c r="I33" s="8">
        <v>30</v>
      </c>
      <c r="J33" s="8">
        <v>278.5</v>
      </c>
      <c r="K33" s="8"/>
      <c r="L33" s="8">
        <v>305.43</v>
      </c>
      <c r="M33" s="8">
        <v>110.41</v>
      </c>
      <c r="N33" s="8"/>
      <c r="O33" s="8"/>
      <c r="P33" s="8">
        <v>857.04</v>
      </c>
    </row>
    <row r="34" spans="2:16" x14ac:dyDescent="0.35">
      <c r="B34" t="s">
        <v>223</v>
      </c>
      <c r="C34" s="6">
        <v>44880</v>
      </c>
      <c r="D34" s="6">
        <v>44887</v>
      </c>
      <c r="E34" t="s">
        <v>222</v>
      </c>
      <c r="F34">
        <v>7</v>
      </c>
      <c r="G34" s="8"/>
      <c r="H34" s="8"/>
      <c r="I34" s="8"/>
      <c r="J34" s="8">
        <v>346.53</v>
      </c>
      <c r="K34" s="8">
        <v>245</v>
      </c>
      <c r="L34" s="8">
        <v>748.25</v>
      </c>
      <c r="M34" s="8">
        <v>238.4</v>
      </c>
      <c r="N34" s="8"/>
      <c r="O34" s="8"/>
      <c r="P34" s="8">
        <v>1578.18</v>
      </c>
    </row>
    <row r="35" spans="2:16" x14ac:dyDescent="0.35">
      <c r="B35" t="s">
        <v>218</v>
      </c>
      <c r="C35" s="6">
        <v>44884</v>
      </c>
      <c r="D35" s="6">
        <v>44888</v>
      </c>
      <c r="E35" t="s">
        <v>222</v>
      </c>
      <c r="F35">
        <v>4</v>
      </c>
      <c r="G35" s="8">
        <v>136.19999999999999</v>
      </c>
      <c r="H35" s="8">
        <v>95.2</v>
      </c>
      <c r="I35" s="8">
        <v>48</v>
      </c>
      <c r="J35" s="8">
        <v>425.39</v>
      </c>
      <c r="K35" s="8"/>
      <c r="L35" s="8">
        <v>615.42999999999995</v>
      </c>
      <c r="M35" s="8">
        <v>220.61</v>
      </c>
      <c r="N35" s="8"/>
      <c r="O35" s="8"/>
      <c r="P35" s="8">
        <v>1540.83</v>
      </c>
    </row>
    <row r="36" spans="2:16" x14ac:dyDescent="0.35">
      <c r="B36" t="s">
        <v>224</v>
      </c>
      <c r="C36" s="6">
        <v>44883</v>
      </c>
      <c r="D36" s="6">
        <v>44890</v>
      </c>
      <c r="E36" t="s">
        <v>222</v>
      </c>
      <c r="F36">
        <v>7</v>
      </c>
      <c r="G36" s="8"/>
      <c r="H36" s="8"/>
      <c r="I36" s="8"/>
      <c r="J36" s="8">
        <v>397.13</v>
      </c>
      <c r="K36" s="8">
        <v>217</v>
      </c>
      <c r="L36" s="8">
        <v>993.57</v>
      </c>
      <c r="M36" s="8">
        <v>420.18</v>
      </c>
      <c r="N36" s="8"/>
      <c r="O36" s="8"/>
      <c r="P36" s="8">
        <v>2027.88</v>
      </c>
    </row>
    <row r="37" spans="2:16" x14ac:dyDescent="0.35">
      <c r="B37" t="s">
        <v>214</v>
      </c>
      <c r="C37" s="6">
        <v>44891</v>
      </c>
      <c r="D37" s="6">
        <v>44893</v>
      </c>
      <c r="E37" t="s">
        <v>222</v>
      </c>
      <c r="F37">
        <v>2</v>
      </c>
      <c r="G37" s="8">
        <v>68.099999999999994</v>
      </c>
      <c r="H37" s="8">
        <v>133.44999999999999</v>
      </c>
      <c r="I37" s="8">
        <v>24</v>
      </c>
      <c r="J37" s="8"/>
      <c r="K37" s="8"/>
      <c r="L37" s="8">
        <v>285.54000000000002</v>
      </c>
      <c r="M37" s="8">
        <v>68.64</v>
      </c>
      <c r="N37" s="8"/>
      <c r="O37" s="8"/>
      <c r="P37" s="8">
        <v>579.73</v>
      </c>
    </row>
    <row r="38" spans="2:16" x14ac:dyDescent="0.35">
      <c r="B38" t="s">
        <v>216</v>
      </c>
      <c r="C38" s="6">
        <v>44890</v>
      </c>
      <c r="D38" s="6">
        <v>44895</v>
      </c>
      <c r="E38" t="s">
        <v>222</v>
      </c>
      <c r="F38">
        <v>5</v>
      </c>
      <c r="G38" s="8">
        <v>170.25</v>
      </c>
      <c r="H38" s="8">
        <v>143.65</v>
      </c>
      <c r="I38" s="8">
        <v>85</v>
      </c>
      <c r="J38" s="8">
        <v>450.4</v>
      </c>
      <c r="K38" s="8"/>
      <c r="L38" s="8">
        <v>729.33</v>
      </c>
      <c r="M38" s="8">
        <v>170.4</v>
      </c>
      <c r="N38" s="8"/>
      <c r="O38" s="8"/>
      <c r="P38" s="8">
        <v>1749.03</v>
      </c>
    </row>
    <row r="39" spans="2:16" x14ac:dyDescent="0.35">
      <c r="B39" t="s">
        <v>225</v>
      </c>
      <c r="C39" s="6">
        <v>44894</v>
      </c>
      <c r="D39" s="6">
        <v>44895</v>
      </c>
      <c r="E39" t="s">
        <v>222</v>
      </c>
      <c r="F39">
        <v>1</v>
      </c>
      <c r="G39" s="8"/>
      <c r="H39" s="8"/>
      <c r="I39" s="8"/>
      <c r="J39" s="8">
        <v>799.93</v>
      </c>
      <c r="K39" s="8"/>
      <c r="L39" s="8">
        <v>134.18</v>
      </c>
      <c r="M39" s="8">
        <v>54.25</v>
      </c>
      <c r="N39" s="8"/>
      <c r="O39" s="8"/>
      <c r="P39" s="8">
        <v>988.36</v>
      </c>
    </row>
    <row r="40" spans="2:16" x14ac:dyDescent="0.35">
      <c r="B40" t="s">
        <v>229</v>
      </c>
      <c r="C40" s="6">
        <v>44893</v>
      </c>
      <c r="D40" s="6">
        <v>44896</v>
      </c>
      <c r="E40" t="s">
        <v>222</v>
      </c>
      <c r="F40">
        <v>3</v>
      </c>
      <c r="G40" s="8">
        <v>102.15</v>
      </c>
      <c r="H40" s="8">
        <v>125.8</v>
      </c>
      <c r="I40" s="8">
        <v>51</v>
      </c>
      <c r="J40" s="8">
        <v>547.70000000000005</v>
      </c>
      <c r="K40" s="8"/>
      <c r="L40" s="8">
        <v>308.77999999999997</v>
      </c>
      <c r="M40" s="8">
        <v>150.18</v>
      </c>
      <c r="N40" s="8">
        <v>378</v>
      </c>
      <c r="O40" s="8">
        <v>25.42</v>
      </c>
      <c r="P40" s="8">
        <v>1689.03</v>
      </c>
    </row>
    <row r="41" spans="2:16" x14ac:dyDescent="0.35">
      <c r="B41" t="s">
        <v>230</v>
      </c>
      <c r="C41" s="6">
        <v>44893</v>
      </c>
      <c r="D41" s="6">
        <v>44899</v>
      </c>
      <c r="E41" t="s">
        <v>222</v>
      </c>
      <c r="F41">
        <v>6</v>
      </c>
      <c r="G41" s="8">
        <v>204.3</v>
      </c>
      <c r="H41" s="8">
        <v>92.65</v>
      </c>
      <c r="I41" s="8">
        <v>120</v>
      </c>
      <c r="J41" s="8"/>
      <c r="K41" s="8"/>
      <c r="L41" s="8">
        <v>917.83</v>
      </c>
      <c r="M41" s="8">
        <v>330.57</v>
      </c>
      <c r="N41" s="8"/>
      <c r="O41" s="8"/>
      <c r="P41" s="8">
        <v>1665.35</v>
      </c>
    </row>
    <row r="42" spans="2:16" x14ac:dyDescent="0.35">
      <c r="B42" t="s">
        <v>214</v>
      </c>
      <c r="C42" s="6">
        <v>44897</v>
      </c>
      <c r="D42" s="6">
        <v>44899</v>
      </c>
      <c r="E42" t="s">
        <v>226</v>
      </c>
      <c r="F42">
        <v>2</v>
      </c>
      <c r="G42" s="8"/>
      <c r="H42" s="8"/>
      <c r="I42" s="8"/>
      <c r="J42" s="8">
        <v>657.54</v>
      </c>
      <c r="K42" s="8">
        <v>40</v>
      </c>
      <c r="L42" s="8">
        <v>273.89999999999998</v>
      </c>
      <c r="M42" s="8">
        <v>114.7</v>
      </c>
      <c r="N42" s="8"/>
      <c r="O42" s="8">
        <v>38.200000000000003</v>
      </c>
      <c r="P42" s="8">
        <v>1124.3399999999999</v>
      </c>
    </row>
    <row r="43" spans="2:16" x14ac:dyDescent="0.35">
      <c r="B43" t="s">
        <v>223</v>
      </c>
      <c r="C43" s="6">
        <v>44898</v>
      </c>
      <c r="D43" s="6">
        <v>44900</v>
      </c>
      <c r="E43" t="s">
        <v>226</v>
      </c>
      <c r="F43">
        <v>2</v>
      </c>
      <c r="G43" s="8"/>
      <c r="H43" s="8"/>
      <c r="I43" s="8"/>
      <c r="J43" s="8">
        <v>679.76</v>
      </c>
      <c r="K43" s="8">
        <v>48</v>
      </c>
      <c r="L43" s="8">
        <v>295.23</v>
      </c>
      <c r="M43" s="8">
        <v>70.87</v>
      </c>
      <c r="N43" s="8"/>
      <c r="O43" s="8"/>
      <c r="P43" s="8">
        <v>1093.8599999999999</v>
      </c>
    </row>
    <row r="44" spans="2:16" x14ac:dyDescent="0.35">
      <c r="B44" t="s">
        <v>228</v>
      </c>
      <c r="C44" s="6">
        <v>44896</v>
      </c>
      <c r="D44" s="6">
        <v>44900</v>
      </c>
      <c r="E44" t="s">
        <v>226</v>
      </c>
      <c r="F44">
        <v>4</v>
      </c>
      <c r="G44" s="8">
        <v>136.19999999999999</v>
      </c>
      <c r="H44" s="8">
        <v>144.5</v>
      </c>
      <c r="I44" s="8">
        <v>60</v>
      </c>
      <c r="J44" s="8">
        <v>444.84</v>
      </c>
      <c r="K44" s="8"/>
      <c r="L44" s="8">
        <v>527.16999999999996</v>
      </c>
      <c r="M44" s="8">
        <v>124.22</v>
      </c>
      <c r="N44" s="8">
        <v>91</v>
      </c>
      <c r="O44" s="8"/>
      <c r="P44" s="8">
        <v>1527.93</v>
      </c>
    </row>
    <row r="45" spans="2:16" x14ac:dyDescent="0.35">
      <c r="B45" t="s">
        <v>216</v>
      </c>
      <c r="C45" s="6">
        <v>44898</v>
      </c>
      <c r="D45" s="6">
        <v>44901</v>
      </c>
      <c r="E45" t="s">
        <v>226</v>
      </c>
      <c r="F45">
        <v>3</v>
      </c>
      <c r="G45" s="8"/>
      <c r="H45" s="8"/>
      <c r="I45" s="8"/>
      <c r="J45" s="8">
        <v>416.65</v>
      </c>
      <c r="K45" s="8">
        <v>51</v>
      </c>
      <c r="L45" s="8">
        <v>416.16</v>
      </c>
      <c r="M45" s="8">
        <v>120.55</v>
      </c>
      <c r="N45" s="8">
        <v>144</v>
      </c>
      <c r="O45" s="8"/>
      <c r="P45" s="8">
        <v>1148.3599999999999</v>
      </c>
    </row>
    <row r="46" spans="2:16" x14ac:dyDescent="0.35">
      <c r="B46" t="s">
        <v>231</v>
      </c>
      <c r="C46" s="6">
        <v>44898</v>
      </c>
      <c r="D46" s="6">
        <v>44901</v>
      </c>
      <c r="E46" t="s">
        <v>226</v>
      </c>
      <c r="F46">
        <v>3</v>
      </c>
      <c r="G46" s="8">
        <v>102.15</v>
      </c>
      <c r="H46" s="8">
        <v>142.80000000000001</v>
      </c>
      <c r="I46" s="8">
        <v>42</v>
      </c>
      <c r="J46" s="8">
        <v>248.71</v>
      </c>
      <c r="K46" s="8"/>
      <c r="L46" s="8">
        <v>413.81</v>
      </c>
      <c r="M46" s="8">
        <v>114.22</v>
      </c>
      <c r="N46" s="8"/>
      <c r="O46" s="8"/>
      <c r="P46" s="8">
        <v>1063.69</v>
      </c>
    </row>
    <row r="47" spans="2:16" x14ac:dyDescent="0.35">
      <c r="B47" t="s">
        <v>220</v>
      </c>
      <c r="C47" s="6">
        <v>44898</v>
      </c>
      <c r="D47" s="6">
        <v>44902</v>
      </c>
      <c r="E47" t="s">
        <v>226</v>
      </c>
      <c r="F47">
        <v>4</v>
      </c>
      <c r="G47" s="8"/>
      <c r="H47" s="8"/>
      <c r="I47" s="8"/>
      <c r="J47" s="8">
        <v>758.68</v>
      </c>
      <c r="K47" s="8">
        <v>60</v>
      </c>
      <c r="L47" s="8">
        <v>551.89</v>
      </c>
      <c r="M47" s="8">
        <v>144.25</v>
      </c>
      <c r="N47" s="8"/>
      <c r="O47" s="8"/>
      <c r="P47" s="8">
        <v>1514.82</v>
      </c>
    </row>
    <row r="48" spans="2:16" x14ac:dyDescent="0.35">
      <c r="B48" t="s">
        <v>217</v>
      </c>
      <c r="C48" s="6">
        <v>44899</v>
      </c>
      <c r="D48" s="6">
        <v>44903</v>
      </c>
      <c r="E48" t="s">
        <v>226</v>
      </c>
      <c r="F48">
        <v>4</v>
      </c>
      <c r="G48" s="8"/>
      <c r="H48" s="8"/>
      <c r="I48" s="8"/>
      <c r="J48" s="8">
        <v>722.9</v>
      </c>
      <c r="K48" s="8"/>
      <c r="L48" s="8">
        <v>555.86</v>
      </c>
      <c r="M48" s="8">
        <v>216.65</v>
      </c>
      <c r="N48" s="8"/>
      <c r="O48" s="8"/>
      <c r="P48" s="8">
        <v>1495.41</v>
      </c>
    </row>
    <row r="49" spans="2:16" x14ac:dyDescent="0.35">
      <c r="B49" t="s">
        <v>221</v>
      </c>
      <c r="C49" s="6">
        <v>44899</v>
      </c>
      <c r="D49" s="6">
        <v>44903</v>
      </c>
      <c r="E49" t="s">
        <v>226</v>
      </c>
      <c r="F49">
        <v>4</v>
      </c>
      <c r="G49" s="8">
        <v>136.19999999999999</v>
      </c>
      <c r="H49" s="8">
        <v>147.9</v>
      </c>
      <c r="I49" s="8">
        <v>60</v>
      </c>
      <c r="J49" s="8">
        <v>310.8</v>
      </c>
      <c r="K49" s="8"/>
      <c r="L49" s="8">
        <v>643.16</v>
      </c>
      <c r="M49" s="8">
        <v>200.12</v>
      </c>
      <c r="N49" s="8"/>
      <c r="O49" s="8"/>
      <c r="P49" s="8">
        <v>1498.18</v>
      </c>
    </row>
    <row r="50" spans="2:16" x14ac:dyDescent="0.35">
      <c r="B50" t="s">
        <v>232</v>
      </c>
      <c r="C50" s="6">
        <v>44900</v>
      </c>
      <c r="D50" s="6">
        <v>44906</v>
      </c>
      <c r="E50" t="s">
        <v>226</v>
      </c>
      <c r="F50">
        <v>6</v>
      </c>
      <c r="G50" s="8">
        <v>204.3</v>
      </c>
      <c r="H50" s="8">
        <v>121.55</v>
      </c>
      <c r="I50" s="8">
        <v>84</v>
      </c>
      <c r="J50" s="8">
        <v>760.62</v>
      </c>
      <c r="K50" s="8"/>
      <c r="L50" s="8">
        <v>947.35</v>
      </c>
      <c r="M50" s="8">
        <v>276.64999999999998</v>
      </c>
      <c r="N50" s="8"/>
      <c r="O50" s="8"/>
      <c r="P50" s="8">
        <v>2394.4699999999998</v>
      </c>
    </row>
    <row r="51" spans="2:16" x14ac:dyDescent="0.35">
      <c r="B51" t="s">
        <v>218</v>
      </c>
      <c r="C51" s="6">
        <v>44904</v>
      </c>
      <c r="D51" s="6">
        <v>44906</v>
      </c>
      <c r="E51" t="s">
        <v>226</v>
      </c>
      <c r="F51">
        <v>2</v>
      </c>
      <c r="G51" s="8">
        <v>68.099999999999994</v>
      </c>
      <c r="H51" s="8">
        <v>45.05</v>
      </c>
      <c r="I51" s="8">
        <v>28</v>
      </c>
      <c r="J51" s="8">
        <v>465.9</v>
      </c>
      <c r="K51" s="8"/>
      <c r="L51" s="8">
        <v>257.67</v>
      </c>
      <c r="M51" s="8">
        <v>102.77</v>
      </c>
      <c r="N51" s="8"/>
      <c r="O51" s="8"/>
      <c r="P51" s="8">
        <v>967.49</v>
      </c>
    </row>
    <row r="52" spans="2:16" x14ac:dyDescent="0.35">
      <c r="B52" t="s">
        <v>231</v>
      </c>
      <c r="C52" s="6">
        <v>44903</v>
      </c>
      <c r="D52" s="6">
        <v>44910</v>
      </c>
      <c r="E52" t="s">
        <v>226</v>
      </c>
      <c r="F52">
        <v>7</v>
      </c>
      <c r="G52" s="8">
        <v>238.35</v>
      </c>
      <c r="H52" s="8">
        <v>85.85</v>
      </c>
      <c r="I52" s="8">
        <v>105</v>
      </c>
      <c r="J52" s="8">
        <v>575.54999999999995</v>
      </c>
      <c r="K52" s="8"/>
      <c r="L52" s="8">
        <v>951.4</v>
      </c>
      <c r="M52" s="8">
        <v>210.8</v>
      </c>
      <c r="N52" s="8"/>
      <c r="O52" s="8">
        <v>44.6</v>
      </c>
      <c r="P52" s="8">
        <v>2211.5500000000002</v>
      </c>
    </row>
    <row r="53" spans="2:16" x14ac:dyDescent="0.35">
      <c r="B53" t="s">
        <v>225</v>
      </c>
      <c r="C53" s="6">
        <v>44907</v>
      </c>
      <c r="D53" s="6">
        <v>44911</v>
      </c>
      <c r="E53" t="s">
        <v>226</v>
      </c>
      <c r="F53">
        <v>4</v>
      </c>
      <c r="G53" s="8">
        <v>136.19999999999999</v>
      </c>
      <c r="H53" s="8">
        <v>90.1</v>
      </c>
      <c r="I53" s="8">
        <v>60</v>
      </c>
      <c r="J53" s="8">
        <v>756.2</v>
      </c>
      <c r="K53" s="8">
        <v>116</v>
      </c>
      <c r="L53" s="8">
        <v>627.16999999999996</v>
      </c>
      <c r="M53" s="8">
        <v>172.22</v>
      </c>
      <c r="N53" s="8"/>
      <c r="O53" s="8"/>
      <c r="P53" s="8">
        <v>1957.89</v>
      </c>
    </row>
    <row r="54" spans="2:16" x14ac:dyDescent="0.35">
      <c r="B54" t="s">
        <v>214</v>
      </c>
      <c r="C54" s="6">
        <v>44908</v>
      </c>
      <c r="D54" s="6">
        <v>44911</v>
      </c>
      <c r="E54" t="s">
        <v>226</v>
      </c>
      <c r="F54">
        <v>3</v>
      </c>
      <c r="G54" s="8">
        <v>102.15</v>
      </c>
      <c r="H54" s="8">
        <v>162.35</v>
      </c>
      <c r="I54" s="8">
        <v>60</v>
      </c>
      <c r="J54" s="8"/>
      <c r="K54" s="8">
        <v>36</v>
      </c>
      <c r="L54" s="8">
        <v>464.35</v>
      </c>
      <c r="M54" s="8">
        <v>120.92</v>
      </c>
      <c r="N54" s="8">
        <v>354</v>
      </c>
      <c r="O54" s="8"/>
      <c r="P54" s="8">
        <v>1299.77</v>
      </c>
    </row>
    <row r="55" spans="2:16" x14ac:dyDescent="0.35">
      <c r="B55" t="s">
        <v>227</v>
      </c>
      <c r="C55" s="6">
        <v>44910</v>
      </c>
      <c r="D55" s="6">
        <v>44912</v>
      </c>
      <c r="E55" t="s">
        <v>226</v>
      </c>
      <c r="F55">
        <v>2</v>
      </c>
      <c r="G55" s="8"/>
      <c r="H55" s="8"/>
      <c r="I55" s="8"/>
      <c r="J55" s="8">
        <v>429.6</v>
      </c>
      <c r="K55" s="8">
        <v>56</v>
      </c>
      <c r="L55" s="8">
        <v>203.6</v>
      </c>
      <c r="M55" s="8">
        <v>102.81</v>
      </c>
      <c r="N55" s="8"/>
      <c r="O55" s="8"/>
      <c r="P55" s="8">
        <v>792.01</v>
      </c>
    </row>
    <row r="56" spans="2:16" x14ac:dyDescent="0.35">
      <c r="B56" t="s">
        <v>219</v>
      </c>
      <c r="C56" s="6">
        <v>44906</v>
      </c>
      <c r="D56" s="6">
        <v>44912</v>
      </c>
      <c r="E56" t="s">
        <v>226</v>
      </c>
      <c r="F56">
        <v>6</v>
      </c>
      <c r="G56" s="8">
        <v>204.3</v>
      </c>
      <c r="H56" s="8">
        <v>85</v>
      </c>
      <c r="I56" s="8">
        <v>72</v>
      </c>
      <c r="J56" s="8">
        <v>623.6</v>
      </c>
      <c r="K56" s="8"/>
      <c r="L56" s="8">
        <v>761.59</v>
      </c>
      <c r="M56" s="8">
        <v>204.31</v>
      </c>
      <c r="N56" s="8"/>
      <c r="O56" s="8"/>
      <c r="P56" s="8">
        <v>1950.8</v>
      </c>
    </row>
    <row r="57" spans="2:16" x14ac:dyDescent="0.35">
      <c r="B57" t="s">
        <v>223</v>
      </c>
      <c r="C57" s="6">
        <v>44909</v>
      </c>
      <c r="D57" s="6">
        <v>44912</v>
      </c>
      <c r="E57" t="s">
        <v>226</v>
      </c>
      <c r="F57">
        <v>3</v>
      </c>
      <c r="G57" s="8"/>
      <c r="H57" s="8"/>
      <c r="I57" s="8"/>
      <c r="J57" s="8">
        <v>768.59</v>
      </c>
      <c r="K57" s="8">
        <v>51</v>
      </c>
      <c r="L57" s="8">
        <v>305.83</v>
      </c>
      <c r="M57" s="8">
        <v>138.32</v>
      </c>
      <c r="N57" s="8"/>
      <c r="O57" s="8"/>
      <c r="P57" s="8">
        <v>1263.74</v>
      </c>
    </row>
    <row r="58" spans="2:16" x14ac:dyDescent="0.35">
      <c r="B58" t="s">
        <v>228</v>
      </c>
      <c r="C58" s="6">
        <v>44909</v>
      </c>
      <c r="D58" s="6">
        <v>44913</v>
      </c>
      <c r="E58" t="s">
        <v>226</v>
      </c>
      <c r="F58">
        <v>4</v>
      </c>
      <c r="G58" s="8"/>
      <c r="H58" s="8"/>
      <c r="I58" s="8"/>
      <c r="J58" s="8">
        <v>298.13</v>
      </c>
      <c r="K58" s="8">
        <v>108</v>
      </c>
      <c r="L58" s="8">
        <v>631.24</v>
      </c>
      <c r="M58" s="8">
        <v>176.4</v>
      </c>
      <c r="N58" s="8"/>
      <c r="O58" s="8">
        <v>78.89</v>
      </c>
      <c r="P58" s="8">
        <v>1292.6600000000001</v>
      </c>
    </row>
    <row r="59" spans="2:16" x14ac:dyDescent="0.35">
      <c r="B59" t="s">
        <v>220</v>
      </c>
      <c r="C59" s="6">
        <v>44914</v>
      </c>
      <c r="D59" s="6">
        <v>44916</v>
      </c>
      <c r="E59" t="s">
        <v>226</v>
      </c>
      <c r="F59">
        <v>2</v>
      </c>
      <c r="G59" s="8">
        <v>68.099999999999994</v>
      </c>
      <c r="H59" s="8">
        <v>148.75</v>
      </c>
      <c r="I59" s="8">
        <v>28</v>
      </c>
      <c r="J59" s="8"/>
      <c r="K59" s="8">
        <v>60</v>
      </c>
      <c r="L59" s="8">
        <v>325.25</v>
      </c>
      <c r="M59" s="8">
        <v>100.13</v>
      </c>
      <c r="N59" s="8">
        <v>395</v>
      </c>
      <c r="O59" s="8"/>
      <c r="P59" s="8">
        <v>1125.23</v>
      </c>
    </row>
    <row r="60" spans="2:16" x14ac:dyDescent="0.35">
      <c r="B60" t="s">
        <v>229</v>
      </c>
      <c r="C60" s="6">
        <v>44915</v>
      </c>
      <c r="D60" s="6">
        <v>44917</v>
      </c>
      <c r="E60" t="s">
        <v>226</v>
      </c>
      <c r="F60">
        <v>2</v>
      </c>
      <c r="G60" s="8"/>
      <c r="H60" s="8"/>
      <c r="I60" s="8"/>
      <c r="J60" s="8">
        <v>589.53</v>
      </c>
      <c r="K60" s="8"/>
      <c r="L60" s="8">
        <v>249.9</v>
      </c>
      <c r="M60" s="8">
        <v>114.33</v>
      </c>
      <c r="N60" s="8"/>
      <c r="O60" s="8"/>
      <c r="P60" s="8">
        <v>953.76</v>
      </c>
    </row>
    <row r="61" spans="2:16" x14ac:dyDescent="0.35">
      <c r="B61" t="s">
        <v>216</v>
      </c>
      <c r="C61" s="6">
        <v>44916</v>
      </c>
      <c r="D61" s="6">
        <v>44918</v>
      </c>
      <c r="E61" t="s">
        <v>226</v>
      </c>
      <c r="F61">
        <v>2</v>
      </c>
      <c r="G61" s="8"/>
      <c r="H61" s="8"/>
      <c r="I61" s="8"/>
      <c r="J61" s="8">
        <v>461.16</v>
      </c>
      <c r="K61" s="8"/>
      <c r="L61" s="8">
        <v>239.64</v>
      </c>
      <c r="M61" s="8">
        <v>68.86</v>
      </c>
      <c r="N61" s="8"/>
      <c r="O61" s="8"/>
      <c r="P61" s="8">
        <v>769.66</v>
      </c>
    </row>
    <row r="62" spans="2:16" x14ac:dyDescent="0.35">
      <c r="B62" t="s">
        <v>230</v>
      </c>
      <c r="C62" s="6">
        <v>44921</v>
      </c>
      <c r="D62" s="6">
        <v>44925</v>
      </c>
      <c r="E62" t="s">
        <v>226</v>
      </c>
      <c r="F62">
        <v>4</v>
      </c>
      <c r="G62" s="8">
        <v>136.19999999999999</v>
      </c>
      <c r="H62" s="8">
        <v>164.9</v>
      </c>
      <c r="I62" s="8">
        <v>80</v>
      </c>
      <c r="J62" s="8"/>
      <c r="K62" s="8">
        <v>92</v>
      </c>
      <c r="L62" s="8">
        <v>595.83000000000004</v>
      </c>
      <c r="M62" s="8">
        <v>216.22</v>
      </c>
      <c r="N62" s="8"/>
      <c r="O62" s="8"/>
      <c r="P62" s="8">
        <v>1285.1500000000001</v>
      </c>
    </row>
    <row r="63" spans="2:16" x14ac:dyDescent="0.35">
      <c r="B63" t="s">
        <v>221</v>
      </c>
      <c r="C63" s="6">
        <v>44923</v>
      </c>
      <c r="D63" s="6">
        <v>44929</v>
      </c>
      <c r="E63" t="s">
        <v>226</v>
      </c>
      <c r="F63">
        <v>6</v>
      </c>
      <c r="G63" s="8">
        <v>204.3</v>
      </c>
      <c r="H63" s="8">
        <v>158.1</v>
      </c>
      <c r="I63" s="8">
        <v>72</v>
      </c>
      <c r="J63" s="8">
        <v>529.32000000000005</v>
      </c>
      <c r="K63" s="8"/>
      <c r="L63" s="8">
        <v>917.83</v>
      </c>
      <c r="M63" s="8">
        <v>264.8</v>
      </c>
      <c r="N63" s="8"/>
      <c r="O63" s="8"/>
      <c r="P63" s="8">
        <v>2146.35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87B7-B0F0-4821-963E-5C27C4D707F6}">
  <dimension ref="B3:C11"/>
  <sheetViews>
    <sheetView workbookViewId="0">
      <selection activeCell="B8" sqref="B8:C8"/>
      <pivotSelection pane="bottomRight" showHeader="1" extendable="1" axis="axisRow" start="4" max="8" activeRow="7" activeCol="1" previousRow="7" previousCol="1" click="1" r:id="rId1">
        <pivotArea dataOnly="0" fieldPosition="0">
          <references count="1">
            <reference field="4" count="1">
              <x v="4"/>
            </reference>
          </references>
        </pivotArea>
      </pivotSelection>
    </sheetView>
  </sheetViews>
  <sheetFormatPr defaultRowHeight="14.5" x14ac:dyDescent="0.35"/>
  <cols>
    <col min="2" max="2" width="12.453125" bestFit="1" customWidth="1"/>
    <col min="3" max="3" width="12.36328125" bestFit="1" customWidth="1"/>
  </cols>
  <sheetData>
    <row r="3" spans="2:3" x14ac:dyDescent="0.35">
      <c r="B3" s="1" t="s">
        <v>196</v>
      </c>
      <c r="C3" t="s">
        <v>239</v>
      </c>
    </row>
    <row r="4" spans="2:3" x14ac:dyDescent="0.35">
      <c r="B4" s="2">
        <v>1</v>
      </c>
      <c r="C4">
        <v>2</v>
      </c>
    </row>
    <row r="5" spans="2:3" x14ac:dyDescent="0.35">
      <c r="B5" s="2">
        <v>2</v>
      </c>
      <c r="C5">
        <v>12</v>
      </c>
    </row>
    <row r="6" spans="2:3" x14ac:dyDescent="0.35">
      <c r="B6" s="2">
        <v>3</v>
      </c>
      <c r="C6">
        <v>9</v>
      </c>
    </row>
    <row r="7" spans="2:3" x14ac:dyDescent="0.35">
      <c r="B7" s="2">
        <v>4</v>
      </c>
      <c r="C7">
        <v>12</v>
      </c>
    </row>
    <row r="8" spans="2:3" x14ac:dyDescent="0.35">
      <c r="B8" s="2">
        <v>5</v>
      </c>
      <c r="C8">
        <v>7</v>
      </c>
    </row>
    <row r="9" spans="2:3" x14ac:dyDescent="0.35">
      <c r="B9" s="2">
        <v>6</v>
      </c>
      <c r="C9">
        <v>11</v>
      </c>
    </row>
    <row r="10" spans="2:3" x14ac:dyDescent="0.35">
      <c r="B10" s="2">
        <v>7</v>
      </c>
      <c r="C10">
        <v>8</v>
      </c>
    </row>
    <row r="11" spans="2:3" x14ac:dyDescent="0.35">
      <c r="B11" s="2" t="s">
        <v>197</v>
      </c>
      <c r="C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E34E-6A7C-4976-9BCD-901BBF94E5FB}">
  <dimension ref="C6:D10"/>
  <sheetViews>
    <sheetView workbookViewId="0">
      <selection activeCell="C6" sqref="C6"/>
    </sheetView>
  </sheetViews>
  <sheetFormatPr defaultRowHeight="14.5" x14ac:dyDescent="0.35"/>
  <cols>
    <col min="3" max="3" width="12.453125" bestFit="1" customWidth="1"/>
    <col min="4" max="4" width="16.7265625" bestFit="1" customWidth="1"/>
  </cols>
  <sheetData>
    <row r="6" spans="3:4" x14ac:dyDescent="0.35">
      <c r="C6" s="1" t="s">
        <v>196</v>
      </c>
      <c r="D6" t="s">
        <v>240</v>
      </c>
    </row>
    <row r="7" spans="3:4" x14ac:dyDescent="0.35">
      <c r="C7" s="2" t="s">
        <v>215</v>
      </c>
      <c r="D7">
        <v>2247.2999999999997</v>
      </c>
    </row>
    <row r="8" spans="3:4" x14ac:dyDescent="0.35">
      <c r="C8" s="2" t="s">
        <v>222</v>
      </c>
      <c r="D8">
        <v>2145.15</v>
      </c>
    </row>
    <row r="9" spans="3:4" x14ac:dyDescent="0.35">
      <c r="C9" s="2" t="s">
        <v>226</v>
      </c>
      <c r="D9">
        <v>1736.55</v>
      </c>
    </row>
    <row r="10" spans="3:4" x14ac:dyDescent="0.35">
      <c r="C10" s="2" t="s">
        <v>197</v>
      </c>
      <c r="D10">
        <v>6129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FAE2-F557-49D2-9444-2733D9D0AAA8}">
  <dimension ref="C5:D22"/>
  <sheetViews>
    <sheetView workbookViewId="0">
      <selection activeCell="D19" sqref="D19"/>
    </sheetView>
  </sheetViews>
  <sheetFormatPr defaultRowHeight="14.5" x14ac:dyDescent="0.35"/>
  <cols>
    <col min="3" max="3" width="15.453125" bestFit="1" customWidth="1"/>
    <col min="4" max="4" width="11.08984375" bestFit="1" customWidth="1"/>
  </cols>
  <sheetData>
    <row r="5" spans="3:4" x14ac:dyDescent="0.35">
      <c r="C5" s="1" t="s">
        <v>196</v>
      </c>
      <c r="D5" t="s">
        <v>241</v>
      </c>
    </row>
    <row r="6" spans="3:4" x14ac:dyDescent="0.35">
      <c r="C6" s="2" t="s">
        <v>216</v>
      </c>
      <c r="D6" s="8">
        <v>6377.5499999999993</v>
      </c>
    </row>
    <row r="7" spans="3:4" x14ac:dyDescent="0.35">
      <c r="C7" s="2" t="s">
        <v>231</v>
      </c>
      <c r="D7" s="8">
        <v>5703.7100000000009</v>
      </c>
    </row>
    <row r="8" spans="3:4" x14ac:dyDescent="0.35">
      <c r="C8" s="2" t="s">
        <v>220</v>
      </c>
      <c r="D8" s="8">
        <v>6679.0399999999991</v>
      </c>
    </row>
    <row r="9" spans="3:4" x14ac:dyDescent="0.35">
      <c r="C9" s="2" t="s">
        <v>224</v>
      </c>
      <c r="D9" s="8">
        <v>6793.36</v>
      </c>
    </row>
    <row r="10" spans="3:4" x14ac:dyDescent="0.35">
      <c r="C10" s="2" t="s">
        <v>225</v>
      </c>
      <c r="D10" s="8">
        <v>4946.8900000000003</v>
      </c>
    </row>
    <row r="11" spans="3:4" x14ac:dyDescent="0.35">
      <c r="C11" s="2" t="s">
        <v>230</v>
      </c>
      <c r="D11" s="8">
        <v>5162.71</v>
      </c>
    </row>
    <row r="12" spans="3:4" x14ac:dyDescent="0.35">
      <c r="C12" s="2" t="s">
        <v>232</v>
      </c>
      <c r="D12" s="8">
        <v>6172</v>
      </c>
    </row>
    <row r="13" spans="3:4" x14ac:dyDescent="0.35">
      <c r="C13" s="2" t="s">
        <v>219</v>
      </c>
      <c r="D13" s="8">
        <v>5430.44</v>
      </c>
    </row>
    <row r="14" spans="3:4" x14ac:dyDescent="0.35">
      <c r="C14" s="2" t="s">
        <v>227</v>
      </c>
      <c r="D14" s="8">
        <v>3441.1000000000004</v>
      </c>
    </row>
    <row r="15" spans="3:4" x14ac:dyDescent="0.35">
      <c r="C15" s="2" t="s">
        <v>217</v>
      </c>
      <c r="D15" s="8">
        <v>5812.34</v>
      </c>
    </row>
    <row r="16" spans="3:4" x14ac:dyDescent="0.35">
      <c r="C16" s="2" t="s">
        <v>218</v>
      </c>
      <c r="D16" s="8">
        <v>4778.32</v>
      </c>
    </row>
    <row r="17" spans="3:4" x14ac:dyDescent="0.35">
      <c r="C17" s="2" t="s">
        <v>229</v>
      </c>
      <c r="D17" s="8">
        <v>6069.1500000000005</v>
      </c>
    </row>
    <row r="18" spans="3:4" x14ac:dyDescent="0.35">
      <c r="C18" s="2" t="s">
        <v>214</v>
      </c>
      <c r="D18" s="8">
        <v>4117.9400000000005</v>
      </c>
    </row>
    <row r="19" spans="3:4" x14ac:dyDescent="0.35">
      <c r="C19" s="2" t="s">
        <v>223</v>
      </c>
      <c r="D19" s="8">
        <v>8300.5500000000011</v>
      </c>
    </row>
    <row r="20" spans="3:4" x14ac:dyDescent="0.35">
      <c r="C20" s="2" t="s">
        <v>228</v>
      </c>
      <c r="D20" s="8">
        <v>4719.1899999999996</v>
      </c>
    </row>
    <row r="21" spans="3:4" x14ac:dyDescent="0.35">
      <c r="C21" s="2" t="s">
        <v>221</v>
      </c>
      <c r="D21" s="8">
        <v>6101.01</v>
      </c>
    </row>
    <row r="22" spans="3:4" x14ac:dyDescent="0.35">
      <c r="C22" s="2" t="s">
        <v>197</v>
      </c>
      <c r="D22" s="8">
        <v>90605.3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F302-ABE3-4BCD-83EA-39018ACC2773}">
  <dimension ref="C6:G24"/>
  <sheetViews>
    <sheetView workbookViewId="0">
      <selection activeCell="C6" sqref="C6"/>
    </sheetView>
  </sheetViews>
  <sheetFormatPr defaultRowHeight="14.5" x14ac:dyDescent="0.35"/>
  <cols>
    <col min="3" max="3" width="15.453125" bestFit="1" customWidth="1"/>
    <col min="4" max="4" width="15.6328125" bestFit="1" customWidth="1"/>
    <col min="5" max="6" width="9.90625" bestFit="1" customWidth="1"/>
    <col min="7" max="7" width="10.36328125" bestFit="1" customWidth="1"/>
    <col min="8" max="9" width="13.36328125" bestFit="1" customWidth="1"/>
    <col min="10" max="10" width="16.1796875" bestFit="1" customWidth="1"/>
    <col min="11" max="13" width="13.36328125" bestFit="1" customWidth="1"/>
    <col min="14" max="14" width="16.1796875" bestFit="1" customWidth="1"/>
    <col min="15" max="16" width="12.54296875" bestFit="1" customWidth="1"/>
    <col min="17" max="17" width="15.36328125" bestFit="1" customWidth="1"/>
    <col min="18" max="20" width="14.7265625" bestFit="1" customWidth="1"/>
    <col min="21" max="21" width="17.54296875" bestFit="1" customWidth="1"/>
    <col min="22" max="24" width="17.1796875" bestFit="1" customWidth="1"/>
    <col min="25" max="25" width="20" bestFit="1" customWidth="1"/>
    <col min="26" max="28" width="15.1796875" bestFit="1" customWidth="1"/>
    <col min="29" max="29" width="18" bestFit="1" customWidth="1"/>
    <col min="30" max="32" width="13.90625" bestFit="1" customWidth="1"/>
    <col min="33" max="33" width="16.7265625" bestFit="1" customWidth="1"/>
    <col min="34" max="36" width="13.08984375" bestFit="1" customWidth="1"/>
    <col min="37" max="37" width="15.90625" bestFit="1" customWidth="1"/>
    <col min="38" max="40" width="17.7265625" bestFit="1" customWidth="1"/>
    <col min="41" max="41" width="20.54296875" bestFit="1" customWidth="1"/>
    <col min="42" max="44" width="11.90625" bestFit="1" customWidth="1"/>
    <col min="45" max="45" width="14.7265625" bestFit="1" customWidth="1"/>
    <col min="46" max="48" width="9.453125" bestFit="1" customWidth="1"/>
    <col min="49" max="49" width="10.81640625" bestFit="1" customWidth="1"/>
    <col min="50" max="52" width="13.54296875" bestFit="1" customWidth="1"/>
    <col min="53" max="53" width="16.36328125" bestFit="1" customWidth="1"/>
    <col min="54" max="56" width="14.36328125" bestFit="1" customWidth="1"/>
    <col min="57" max="57" width="17.26953125" bestFit="1" customWidth="1"/>
    <col min="58" max="59" width="15" bestFit="1" customWidth="1"/>
    <col min="60" max="60" width="17.81640625" bestFit="1" customWidth="1"/>
    <col min="61" max="63" width="13.08984375" bestFit="1" customWidth="1"/>
    <col min="64" max="64" width="15.90625" bestFit="1" customWidth="1"/>
    <col min="65" max="65" width="10.36328125" bestFit="1" customWidth="1"/>
  </cols>
  <sheetData>
    <row r="6" spans="3:7" x14ac:dyDescent="0.35">
      <c r="C6" s="1" t="s">
        <v>241</v>
      </c>
      <c r="D6" s="1" t="s">
        <v>198</v>
      </c>
    </row>
    <row r="7" spans="3:7" x14ac:dyDescent="0.35">
      <c r="C7" s="1" t="s">
        <v>196</v>
      </c>
      <c r="D7" t="s">
        <v>215</v>
      </c>
      <c r="E7" t="s">
        <v>222</v>
      </c>
      <c r="F7" t="s">
        <v>226</v>
      </c>
      <c r="G7" t="s">
        <v>197</v>
      </c>
    </row>
    <row r="8" spans="3:7" x14ac:dyDescent="0.35">
      <c r="C8" s="2" t="s">
        <v>216</v>
      </c>
      <c r="D8" s="8">
        <v>2710.5</v>
      </c>
      <c r="E8" s="8">
        <v>1749.03</v>
      </c>
      <c r="F8" s="8">
        <v>1918.02</v>
      </c>
      <c r="G8" s="8">
        <v>6377.5499999999993</v>
      </c>
    </row>
    <row r="9" spans="3:7" x14ac:dyDescent="0.35">
      <c r="C9" s="2" t="s">
        <v>231</v>
      </c>
      <c r="D9" s="8">
        <v>1493.63</v>
      </c>
      <c r="E9" s="8">
        <v>934.84</v>
      </c>
      <c r="F9" s="8">
        <v>3275.2400000000002</v>
      </c>
      <c r="G9" s="8">
        <v>5703.7100000000009</v>
      </c>
    </row>
    <row r="10" spans="3:7" x14ac:dyDescent="0.35">
      <c r="C10" s="2" t="s">
        <v>220</v>
      </c>
      <c r="D10" s="8">
        <v>2405.9499999999998</v>
      </c>
      <c r="E10" s="8">
        <v>1633.04</v>
      </c>
      <c r="F10" s="8">
        <v>2640.05</v>
      </c>
      <c r="G10" s="8">
        <v>6679.04</v>
      </c>
    </row>
    <row r="11" spans="3:7" x14ac:dyDescent="0.35">
      <c r="C11" s="2" t="s">
        <v>224</v>
      </c>
      <c r="D11" s="8">
        <v>2185.1</v>
      </c>
      <c r="E11" s="8">
        <v>4608.26</v>
      </c>
      <c r="F11" s="8"/>
      <c r="G11" s="8">
        <v>6793.3600000000006</v>
      </c>
    </row>
    <row r="12" spans="3:7" x14ac:dyDescent="0.35">
      <c r="C12" s="2" t="s">
        <v>225</v>
      </c>
      <c r="D12" s="8">
        <v>2000.6399999999999</v>
      </c>
      <c r="E12" s="8">
        <v>988.36</v>
      </c>
      <c r="F12" s="8">
        <v>1957.89</v>
      </c>
      <c r="G12" s="8">
        <v>4946.8900000000003</v>
      </c>
    </row>
    <row r="13" spans="3:7" x14ac:dyDescent="0.35">
      <c r="C13" s="2" t="s">
        <v>230</v>
      </c>
      <c r="D13" s="8">
        <v>2212.21</v>
      </c>
      <c r="E13" s="8">
        <v>1665.35</v>
      </c>
      <c r="F13" s="8">
        <v>1285.1500000000001</v>
      </c>
      <c r="G13" s="8">
        <v>5162.71</v>
      </c>
    </row>
    <row r="14" spans="3:7" x14ac:dyDescent="0.35">
      <c r="C14" s="2" t="s">
        <v>232</v>
      </c>
      <c r="D14" s="8">
        <v>1552.24</v>
      </c>
      <c r="E14" s="8">
        <v>2225.29</v>
      </c>
      <c r="F14" s="8">
        <v>2394.4699999999998</v>
      </c>
      <c r="G14" s="8">
        <v>6172</v>
      </c>
    </row>
    <row r="15" spans="3:7" x14ac:dyDescent="0.35">
      <c r="C15" s="2" t="s">
        <v>219</v>
      </c>
      <c r="D15" s="8">
        <v>1832.35</v>
      </c>
      <c r="E15" s="8">
        <v>1647.29</v>
      </c>
      <c r="F15" s="8">
        <v>1950.8</v>
      </c>
      <c r="G15" s="8">
        <v>5430.44</v>
      </c>
    </row>
    <row r="16" spans="3:7" x14ac:dyDescent="0.35">
      <c r="C16" s="2" t="s">
        <v>227</v>
      </c>
      <c r="D16" s="8">
        <v>1792.05</v>
      </c>
      <c r="E16" s="8">
        <v>857.04</v>
      </c>
      <c r="F16" s="8">
        <v>792.01</v>
      </c>
      <c r="G16" s="8">
        <v>3441.1000000000004</v>
      </c>
    </row>
    <row r="17" spans="3:7" x14ac:dyDescent="0.35">
      <c r="C17" s="2" t="s">
        <v>217</v>
      </c>
      <c r="D17" s="8">
        <v>2940.24</v>
      </c>
      <c r="E17" s="8">
        <v>1376.69</v>
      </c>
      <c r="F17" s="8">
        <v>1495.41</v>
      </c>
      <c r="G17" s="8">
        <v>5812.34</v>
      </c>
    </row>
    <row r="18" spans="3:7" x14ac:dyDescent="0.35">
      <c r="C18" s="2" t="s">
        <v>218</v>
      </c>
      <c r="D18" s="8">
        <v>2270</v>
      </c>
      <c r="E18" s="8">
        <v>1540.83</v>
      </c>
      <c r="F18" s="8">
        <v>967.49</v>
      </c>
      <c r="G18" s="8">
        <v>4778.32</v>
      </c>
    </row>
    <row r="19" spans="3:7" x14ac:dyDescent="0.35">
      <c r="C19" s="2" t="s">
        <v>229</v>
      </c>
      <c r="D19" s="8">
        <v>1589.97</v>
      </c>
      <c r="E19" s="8">
        <v>3525.42</v>
      </c>
      <c r="F19" s="8">
        <v>953.76</v>
      </c>
      <c r="G19" s="8">
        <v>6069.1500000000005</v>
      </c>
    </row>
    <row r="20" spans="3:7" x14ac:dyDescent="0.35">
      <c r="C20" s="2" t="s">
        <v>214</v>
      </c>
      <c r="D20" s="8">
        <v>1114.0999999999999</v>
      </c>
      <c r="E20" s="8">
        <v>579.73</v>
      </c>
      <c r="F20" s="8">
        <v>2424.1099999999997</v>
      </c>
      <c r="G20" s="8">
        <v>4117.9399999999996</v>
      </c>
    </row>
    <row r="21" spans="3:7" x14ac:dyDescent="0.35">
      <c r="C21" s="2" t="s">
        <v>223</v>
      </c>
      <c r="D21" s="8">
        <v>4364.7700000000004</v>
      </c>
      <c r="E21" s="8">
        <v>1578.18</v>
      </c>
      <c r="F21" s="8">
        <v>2357.6</v>
      </c>
      <c r="G21" s="8">
        <v>8300.5500000000011</v>
      </c>
    </row>
    <row r="22" spans="3:7" x14ac:dyDescent="0.35">
      <c r="C22" s="2" t="s">
        <v>228</v>
      </c>
      <c r="D22" s="8">
        <v>1898.6</v>
      </c>
      <c r="E22" s="8"/>
      <c r="F22" s="8">
        <v>2820.59</v>
      </c>
      <c r="G22" s="8">
        <v>4719.1900000000005</v>
      </c>
    </row>
    <row r="23" spans="3:7" x14ac:dyDescent="0.35">
      <c r="C23" s="2" t="s">
        <v>221</v>
      </c>
      <c r="D23" s="8">
        <v>1333.57</v>
      </c>
      <c r="E23" s="8">
        <v>1122.9100000000001</v>
      </c>
      <c r="F23" s="8">
        <v>3644.5299999999997</v>
      </c>
      <c r="G23" s="8">
        <v>6101.01</v>
      </c>
    </row>
    <row r="24" spans="3:7" x14ac:dyDescent="0.35">
      <c r="C24" s="2" t="s">
        <v>197</v>
      </c>
      <c r="D24" s="8">
        <v>33695.919999999998</v>
      </c>
      <c r="E24" s="8">
        <v>26032.260000000002</v>
      </c>
      <c r="F24" s="8">
        <v>30877.119999999999</v>
      </c>
      <c r="G24" s="8">
        <v>90605.3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ACD5-3445-485E-8A9E-27F2C61193F2}">
  <dimension ref="C6:D24"/>
  <sheetViews>
    <sheetView workbookViewId="0">
      <selection activeCell="C8" sqref="C8"/>
    </sheetView>
  </sheetViews>
  <sheetFormatPr defaultRowHeight="14.5" x14ac:dyDescent="0.35"/>
  <cols>
    <col min="3" max="3" width="15.453125" bestFit="1" customWidth="1"/>
    <col min="4" max="4" width="12.36328125" bestFit="1" customWidth="1"/>
  </cols>
  <sheetData>
    <row r="6" spans="3:4" x14ac:dyDescent="0.35">
      <c r="C6" s="1" t="s">
        <v>202</v>
      </c>
      <c r="D6" t="s">
        <v>226</v>
      </c>
    </row>
    <row r="8" spans="3:4" x14ac:dyDescent="0.35">
      <c r="C8" s="1" t="s">
        <v>196</v>
      </c>
      <c r="D8" t="s">
        <v>242</v>
      </c>
    </row>
    <row r="9" spans="3:4" x14ac:dyDescent="0.35">
      <c r="C9" s="2" t="s">
        <v>216</v>
      </c>
      <c r="D9" s="8">
        <v>655.8</v>
      </c>
    </row>
    <row r="10" spans="3:4" x14ac:dyDescent="0.35">
      <c r="C10" s="2" t="s">
        <v>231</v>
      </c>
      <c r="D10" s="8">
        <v>1365.21</v>
      </c>
    </row>
    <row r="11" spans="3:4" x14ac:dyDescent="0.35">
      <c r="C11" s="2" t="s">
        <v>220</v>
      </c>
      <c r="D11" s="8">
        <v>877.14</v>
      </c>
    </row>
    <row r="12" spans="3:4" x14ac:dyDescent="0.35">
      <c r="C12" s="2" t="s">
        <v>225</v>
      </c>
      <c r="D12" s="8">
        <v>627.16999999999996</v>
      </c>
    </row>
    <row r="13" spans="3:4" x14ac:dyDescent="0.35">
      <c r="C13" s="2" t="s">
        <v>230</v>
      </c>
      <c r="D13" s="8">
        <v>595.83000000000004</v>
      </c>
    </row>
    <row r="14" spans="3:4" x14ac:dyDescent="0.35">
      <c r="C14" s="2" t="s">
        <v>232</v>
      </c>
      <c r="D14" s="8">
        <v>947.35</v>
      </c>
    </row>
    <row r="15" spans="3:4" x14ac:dyDescent="0.35">
      <c r="C15" s="2" t="s">
        <v>219</v>
      </c>
      <c r="D15" s="8">
        <v>761.59</v>
      </c>
    </row>
    <row r="16" spans="3:4" x14ac:dyDescent="0.35">
      <c r="C16" s="2" t="s">
        <v>227</v>
      </c>
      <c r="D16" s="8">
        <v>203.6</v>
      </c>
    </row>
    <row r="17" spans="3:4" x14ac:dyDescent="0.35">
      <c r="C17" s="2" t="s">
        <v>217</v>
      </c>
      <c r="D17" s="8">
        <v>555.86</v>
      </c>
    </row>
    <row r="18" spans="3:4" x14ac:dyDescent="0.35">
      <c r="C18" s="2" t="s">
        <v>218</v>
      </c>
      <c r="D18" s="8">
        <v>257.67</v>
      </c>
    </row>
    <row r="19" spans="3:4" x14ac:dyDescent="0.35">
      <c r="C19" s="2" t="s">
        <v>229</v>
      </c>
      <c r="D19" s="8">
        <v>249.9</v>
      </c>
    </row>
    <row r="20" spans="3:4" x14ac:dyDescent="0.35">
      <c r="C20" s="2" t="s">
        <v>214</v>
      </c>
      <c r="D20" s="8">
        <v>738.25</v>
      </c>
    </row>
    <row r="21" spans="3:4" x14ac:dyDescent="0.35">
      <c r="C21" s="2" t="s">
        <v>223</v>
      </c>
      <c r="D21" s="8">
        <v>601.05999999999995</v>
      </c>
    </row>
    <row r="22" spans="3:4" x14ac:dyDescent="0.35">
      <c r="C22" s="2" t="s">
        <v>228</v>
      </c>
      <c r="D22" s="8">
        <v>1158.4099999999999</v>
      </c>
    </row>
    <row r="23" spans="3:4" x14ac:dyDescent="0.35">
      <c r="C23" s="2" t="s">
        <v>221</v>
      </c>
      <c r="D23" s="8">
        <v>1560.99</v>
      </c>
    </row>
    <row r="24" spans="3:4" x14ac:dyDescent="0.35">
      <c r="C24" s="2" t="s">
        <v>197</v>
      </c>
      <c r="D24" s="8">
        <v>11155.83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DE84-C7BE-48F6-A870-CC97BE1D133E}">
  <dimension ref="B2:O22"/>
  <sheetViews>
    <sheetView topLeftCell="D2" workbookViewId="0">
      <selection activeCell="B2" sqref="B2:K6"/>
    </sheetView>
  </sheetViews>
  <sheetFormatPr defaultRowHeight="14.5" x14ac:dyDescent="0.35"/>
  <cols>
    <col min="1" max="1" width="3.6328125" customWidth="1"/>
    <col min="2" max="2" width="12.7265625" customWidth="1"/>
    <col min="3" max="5" width="10.90625" customWidth="1"/>
    <col min="6" max="6" width="11.81640625" customWidth="1"/>
    <col min="7" max="7" width="10.90625" customWidth="1"/>
    <col min="8" max="9" width="11.81640625" customWidth="1"/>
    <col min="10" max="10" width="12.7265625" customWidth="1"/>
    <col min="11" max="12" width="10" customWidth="1"/>
  </cols>
  <sheetData>
    <row r="2" spans="2:15" ht="29" x14ac:dyDescent="0.35">
      <c r="B2" s="9"/>
      <c r="C2" s="3" t="s">
        <v>204</v>
      </c>
      <c r="D2" s="3" t="s">
        <v>205</v>
      </c>
      <c r="E2" s="4" t="s">
        <v>206</v>
      </c>
      <c r="F2" s="3" t="s">
        <v>207</v>
      </c>
      <c r="G2" s="4" t="s">
        <v>208</v>
      </c>
      <c r="H2" s="3" t="s">
        <v>209</v>
      </c>
      <c r="I2" s="4" t="s">
        <v>210</v>
      </c>
      <c r="J2" s="4" t="s">
        <v>211</v>
      </c>
      <c r="K2" s="3" t="s">
        <v>212</v>
      </c>
    </row>
    <row r="3" spans="2:15" x14ac:dyDescent="0.35">
      <c r="B3" t="s">
        <v>215</v>
      </c>
      <c r="C3" s="10">
        <v>2247.3000000000002</v>
      </c>
      <c r="D3" s="10">
        <v>1353.2</v>
      </c>
      <c r="E3" s="10">
        <v>242</v>
      </c>
      <c r="F3" s="10">
        <v>9168.02</v>
      </c>
      <c r="G3" s="10">
        <v>579</v>
      </c>
      <c r="H3" s="10">
        <v>12853.55</v>
      </c>
      <c r="I3" s="10">
        <v>4307.8599999999997</v>
      </c>
      <c r="J3" s="10">
        <v>2784</v>
      </c>
      <c r="K3" s="10">
        <v>160.99</v>
      </c>
    </row>
    <row r="4" spans="2:15" x14ac:dyDescent="0.35">
      <c r="B4" t="s">
        <v>222</v>
      </c>
      <c r="C4" s="10">
        <v>2145.15</v>
      </c>
      <c r="D4" s="10">
        <v>1615.85</v>
      </c>
      <c r="E4" s="10">
        <v>986</v>
      </c>
      <c r="F4" s="10">
        <v>5897.73</v>
      </c>
      <c r="G4" s="10">
        <v>774</v>
      </c>
      <c r="H4" s="10">
        <v>10322.56</v>
      </c>
      <c r="I4" s="10">
        <v>3488.55</v>
      </c>
      <c r="J4" s="10">
        <v>777</v>
      </c>
      <c r="K4" s="10">
        <v>25.42</v>
      </c>
    </row>
    <row r="5" spans="2:15" x14ac:dyDescent="0.35">
      <c r="B5" t="s">
        <v>226</v>
      </c>
      <c r="C5" s="10">
        <v>1736.55</v>
      </c>
      <c r="D5" s="10">
        <v>1496.85</v>
      </c>
      <c r="E5" s="10">
        <v>751</v>
      </c>
      <c r="F5" s="10">
        <v>10498.08</v>
      </c>
      <c r="G5" s="10">
        <v>718</v>
      </c>
      <c r="H5" s="10">
        <v>11155.83</v>
      </c>
      <c r="I5" s="10">
        <v>3375.12</v>
      </c>
      <c r="J5" s="10">
        <v>984</v>
      </c>
      <c r="K5" s="10">
        <v>161.69</v>
      </c>
    </row>
    <row r="6" spans="2:15" x14ac:dyDescent="0.35">
      <c r="B6" t="s">
        <v>213</v>
      </c>
      <c r="C6" s="10">
        <v>6129</v>
      </c>
      <c r="D6" s="10">
        <v>4465.8999999999996</v>
      </c>
      <c r="E6" s="10">
        <v>1979</v>
      </c>
      <c r="F6" s="10">
        <v>25563.83</v>
      </c>
      <c r="G6" s="10">
        <v>2071</v>
      </c>
      <c r="H6" s="10">
        <v>34331.94</v>
      </c>
      <c r="I6" s="10">
        <v>11171.53</v>
      </c>
      <c r="J6" s="10">
        <v>4545</v>
      </c>
      <c r="K6" s="10">
        <v>348.1</v>
      </c>
    </row>
    <row r="7" spans="2:15" ht="15" thickBot="1" x14ac:dyDescent="0.4"/>
    <row r="8" spans="2:15" x14ac:dyDescent="0.35">
      <c r="B8" s="12" t="s">
        <v>233</v>
      </c>
      <c r="C8" s="13"/>
      <c r="D8" s="13"/>
      <c r="E8" s="13"/>
      <c r="F8" s="13"/>
      <c r="G8" s="14"/>
      <c r="I8" s="12" t="s">
        <v>234</v>
      </c>
      <c r="J8" s="13"/>
      <c r="K8" s="13"/>
      <c r="L8" s="13"/>
      <c r="M8" s="13"/>
      <c r="N8" s="13"/>
      <c r="O8" s="14"/>
    </row>
    <row r="9" spans="2:15" x14ac:dyDescent="0.35">
      <c r="B9" s="15"/>
      <c r="C9" s="16"/>
      <c r="D9" s="16"/>
      <c r="E9" s="16"/>
      <c r="F9" s="16"/>
      <c r="G9" s="17"/>
      <c r="I9" s="15"/>
      <c r="J9" s="16"/>
      <c r="K9" s="16"/>
      <c r="L9" s="16"/>
      <c r="M9" s="16"/>
      <c r="N9" s="16"/>
      <c r="O9" s="17"/>
    </row>
    <row r="10" spans="2:15" x14ac:dyDescent="0.35">
      <c r="B10" s="15"/>
      <c r="C10" s="16"/>
      <c r="D10" s="16"/>
      <c r="E10" s="16"/>
      <c r="F10" s="16"/>
      <c r="G10" s="17"/>
      <c r="I10" s="15"/>
      <c r="J10" s="16"/>
      <c r="K10" s="16"/>
      <c r="L10" s="16"/>
      <c r="M10" s="16"/>
      <c r="N10" s="16"/>
      <c r="O10" s="17"/>
    </row>
    <row r="11" spans="2:15" x14ac:dyDescent="0.35">
      <c r="B11" s="15"/>
      <c r="C11" s="16"/>
      <c r="D11" s="16"/>
      <c r="E11" s="16"/>
      <c r="F11" s="16"/>
      <c r="G11" s="17"/>
      <c r="I11" s="15"/>
      <c r="J11" s="16"/>
      <c r="K11" s="16"/>
      <c r="L11" s="16"/>
      <c r="M11" s="16"/>
      <c r="N11" s="16"/>
      <c r="O11" s="17"/>
    </row>
    <row r="12" spans="2:15" x14ac:dyDescent="0.35">
      <c r="B12" s="15"/>
      <c r="C12" s="16"/>
      <c r="D12" s="16"/>
      <c r="E12" s="16"/>
      <c r="F12" s="16"/>
      <c r="G12" s="17"/>
      <c r="I12" s="15"/>
      <c r="J12" s="16"/>
      <c r="K12" s="16"/>
      <c r="L12" s="16"/>
      <c r="M12" s="16"/>
      <c r="N12" s="16"/>
      <c r="O12" s="17"/>
    </row>
    <row r="13" spans="2:15" x14ac:dyDescent="0.35">
      <c r="B13" s="15"/>
      <c r="C13" s="16"/>
      <c r="D13" s="16"/>
      <c r="E13" s="16"/>
      <c r="F13" s="16"/>
      <c r="G13" s="17"/>
      <c r="I13" s="15"/>
      <c r="J13" s="16"/>
      <c r="K13" s="16"/>
      <c r="L13" s="16"/>
      <c r="M13" s="16"/>
      <c r="N13" s="16"/>
      <c r="O13" s="17"/>
    </row>
    <row r="14" spans="2:15" x14ac:dyDescent="0.35">
      <c r="B14" s="15"/>
      <c r="C14" s="16"/>
      <c r="D14" s="16"/>
      <c r="E14" s="16"/>
      <c r="F14" s="16"/>
      <c r="G14" s="17"/>
      <c r="I14" s="15"/>
      <c r="J14" s="16"/>
      <c r="K14" s="16"/>
      <c r="L14" s="16"/>
      <c r="M14" s="16"/>
      <c r="N14" s="16"/>
      <c r="O14" s="17"/>
    </row>
    <row r="15" spans="2:15" x14ac:dyDescent="0.35">
      <c r="B15" s="15"/>
      <c r="C15" s="16"/>
      <c r="D15" s="16"/>
      <c r="E15" s="16"/>
      <c r="F15" s="16"/>
      <c r="G15" s="17"/>
      <c r="I15" s="15"/>
      <c r="J15" s="16"/>
      <c r="K15" s="16"/>
      <c r="L15" s="16"/>
      <c r="M15" s="16"/>
      <c r="N15" s="16"/>
      <c r="O15" s="17"/>
    </row>
    <row r="16" spans="2:15" x14ac:dyDescent="0.35">
      <c r="B16" s="15"/>
      <c r="C16" s="16"/>
      <c r="D16" s="16"/>
      <c r="E16" s="16"/>
      <c r="F16" s="16"/>
      <c r="G16" s="17"/>
      <c r="I16" s="15"/>
      <c r="J16" s="16"/>
      <c r="K16" s="16"/>
      <c r="L16" s="16"/>
      <c r="M16" s="16"/>
      <c r="N16" s="16"/>
      <c r="O16" s="17"/>
    </row>
    <row r="17" spans="2:15" x14ac:dyDescent="0.35">
      <c r="B17" s="15"/>
      <c r="C17" s="16"/>
      <c r="D17" s="16"/>
      <c r="E17" s="16"/>
      <c r="F17" s="16"/>
      <c r="G17" s="17"/>
      <c r="I17" s="15"/>
      <c r="J17" s="16"/>
      <c r="K17" s="16"/>
      <c r="L17" s="16"/>
      <c r="M17" s="16"/>
      <c r="N17" s="16"/>
      <c r="O17" s="17"/>
    </row>
    <row r="18" spans="2:15" x14ac:dyDescent="0.35">
      <c r="B18" s="15"/>
      <c r="C18" s="16"/>
      <c r="D18" s="16"/>
      <c r="E18" s="16"/>
      <c r="F18" s="16"/>
      <c r="G18" s="17"/>
      <c r="I18" s="15"/>
      <c r="J18" s="16"/>
      <c r="K18" s="16"/>
      <c r="L18" s="16"/>
      <c r="M18" s="16"/>
      <c r="N18" s="16"/>
      <c r="O18" s="17"/>
    </row>
    <row r="19" spans="2:15" x14ac:dyDescent="0.35">
      <c r="B19" s="15"/>
      <c r="C19" s="16"/>
      <c r="D19" s="16"/>
      <c r="E19" s="16"/>
      <c r="F19" s="16"/>
      <c r="G19" s="17"/>
      <c r="I19" s="15"/>
      <c r="J19" s="16"/>
      <c r="K19" s="16"/>
      <c r="L19" s="16"/>
      <c r="M19" s="16"/>
      <c r="N19" s="16"/>
      <c r="O19" s="17"/>
    </row>
    <row r="20" spans="2:15" x14ac:dyDescent="0.35">
      <c r="B20" s="15"/>
      <c r="C20" s="16"/>
      <c r="D20" s="16"/>
      <c r="E20" s="16"/>
      <c r="F20" s="16"/>
      <c r="G20" s="17"/>
      <c r="I20" s="15"/>
      <c r="J20" s="16"/>
      <c r="K20" s="16"/>
      <c r="L20" s="16"/>
      <c r="M20" s="16"/>
      <c r="N20" s="16"/>
      <c r="O20" s="17"/>
    </row>
    <row r="21" spans="2:15" x14ac:dyDescent="0.35">
      <c r="B21" s="15"/>
      <c r="C21" s="16"/>
      <c r="D21" s="16"/>
      <c r="E21" s="16"/>
      <c r="F21" s="16"/>
      <c r="G21" s="17"/>
      <c r="I21" s="15"/>
      <c r="J21" s="16"/>
      <c r="K21" s="16"/>
      <c r="L21" s="16"/>
      <c r="M21" s="16"/>
      <c r="N21" s="16"/>
      <c r="O21" s="17"/>
    </row>
    <row r="22" spans="2:15" ht="15" thickBot="1" x14ac:dyDescent="0.4">
      <c r="B22" s="18"/>
      <c r="C22" s="19"/>
      <c r="D22" s="19"/>
      <c r="E22" s="19"/>
      <c r="F22" s="19"/>
      <c r="G22" s="20"/>
      <c r="I22" s="18"/>
      <c r="J22" s="19"/>
      <c r="K22" s="19"/>
      <c r="L22" s="19"/>
      <c r="M22" s="19"/>
      <c r="N22" s="19"/>
      <c r="O22" s="20"/>
    </row>
  </sheetData>
  <mergeCells count="2">
    <mergeCell ref="B8:G22"/>
    <mergeCell ref="I8:O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E86A-DD05-4313-9A99-3CB1EEE3BEC4}">
  <dimension ref="B2:M13"/>
  <sheetViews>
    <sheetView topLeftCell="B1" workbookViewId="0">
      <selection activeCell="M18" sqref="M18"/>
    </sheetView>
  </sheetViews>
  <sheetFormatPr defaultRowHeight="14.5" x14ac:dyDescent="0.35"/>
  <cols>
    <col min="1" max="1" width="3.6328125" customWidth="1"/>
    <col min="2" max="2" width="16.36328125" customWidth="1"/>
    <col min="3" max="3" width="10.90625" customWidth="1"/>
    <col min="4" max="13" width="10" customWidth="1"/>
  </cols>
  <sheetData>
    <row r="2" spans="2:13" x14ac:dyDescent="0.35">
      <c r="B2" s="3" t="s">
        <v>199</v>
      </c>
      <c r="C2" s="3" t="s">
        <v>200</v>
      </c>
      <c r="D2" s="3" t="s">
        <v>235</v>
      </c>
      <c r="E2" s="3" t="s">
        <v>236</v>
      </c>
      <c r="F2" s="3" t="s">
        <v>213</v>
      </c>
      <c r="H2" s="11" t="s">
        <v>237</v>
      </c>
      <c r="I2" s="11"/>
      <c r="J2" s="11"/>
      <c r="K2" s="11"/>
      <c r="L2" s="11"/>
      <c r="M2" s="11"/>
    </row>
    <row r="3" spans="2:13" x14ac:dyDescent="0.35">
      <c r="B3" t="s">
        <v>220</v>
      </c>
      <c r="C3" s="6">
        <v>44858</v>
      </c>
      <c r="D3" s="8">
        <v>774.46</v>
      </c>
      <c r="E3" s="8">
        <v>624.62</v>
      </c>
      <c r="F3" s="8">
        <v>2405.9499999999998</v>
      </c>
      <c r="H3" s="11"/>
      <c r="I3" s="11"/>
      <c r="J3" s="11"/>
      <c r="K3" s="11"/>
      <c r="L3" s="11"/>
      <c r="M3" s="11"/>
    </row>
    <row r="4" spans="2:13" x14ac:dyDescent="0.35">
      <c r="B4" t="s">
        <v>232</v>
      </c>
      <c r="C4" s="6">
        <v>44900</v>
      </c>
      <c r="D4" s="8">
        <v>760.62</v>
      </c>
      <c r="E4" s="8">
        <v>947.35</v>
      </c>
      <c r="F4" s="8">
        <v>2394.4699999999998</v>
      </c>
      <c r="H4" s="11"/>
      <c r="I4" s="11"/>
      <c r="J4" s="11"/>
      <c r="K4" s="11"/>
      <c r="L4" s="11"/>
      <c r="M4" s="11"/>
    </row>
    <row r="5" spans="2:13" x14ac:dyDescent="0.35">
      <c r="B5" t="s">
        <v>218</v>
      </c>
      <c r="C5" s="6">
        <v>44849</v>
      </c>
      <c r="D5" s="8">
        <v>438.82</v>
      </c>
      <c r="E5" s="8">
        <v>860.69</v>
      </c>
      <c r="F5" s="8">
        <v>2270</v>
      </c>
      <c r="H5" s="11"/>
      <c r="I5" s="11"/>
      <c r="J5" s="11"/>
      <c r="K5" s="11"/>
      <c r="L5" s="11"/>
      <c r="M5" s="11"/>
    </row>
    <row r="6" spans="2:13" x14ac:dyDescent="0.35">
      <c r="B6" t="s">
        <v>232</v>
      </c>
      <c r="C6" s="6">
        <v>44874</v>
      </c>
      <c r="D6" s="8">
        <v>554.41999999999996</v>
      </c>
      <c r="E6" s="8">
        <v>1000.14</v>
      </c>
      <c r="F6" s="8">
        <v>2225.29</v>
      </c>
      <c r="H6" s="11"/>
      <c r="I6" s="11"/>
      <c r="J6" s="11"/>
      <c r="K6" s="11"/>
      <c r="L6" s="11"/>
      <c r="M6" s="11"/>
    </row>
    <row r="7" spans="2:13" x14ac:dyDescent="0.35">
      <c r="B7" t="s">
        <v>223</v>
      </c>
      <c r="C7" s="6">
        <v>44837</v>
      </c>
      <c r="D7" s="8">
        <v>775.55</v>
      </c>
      <c r="E7" s="8">
        <v>863.63</v>
      </c>
      <c r="F7" s="8">
        <v>2215.16</v>
      </c>
      <c r="H7" s="11"/>
      <c r="I7" s="11"/>
      <c r="J7" s="11"/>
      <c r="K7" s="11"/>
      <c r="L7" s="11"/>
      <c r="M7" s="11"/>
    </row>
    <row r="8" spans="2:13" x14ac:dyDescent="0.35">
      <c r="B8" t="s">
        <v>230</v>
      </c>
      <c r="C8" s="6">
        <v>44849</v>
      </c>
      <c r="D8" s="8">
        <v>799.6</v>
      </c>
      <c r="E8" s="8">
        <v>785.69</v>
      </c>
      <c r="F8" s="8">
        <v>2212.21</v>
      </c>
      <c r="H8" s="11"/>
      <c r="I8" s="11"/>
      <c r="J8" s="11"/>
      <c r="K8" s="11"/>
      <c r="L8" s="11"/>
      <c r="M8" s="11"/>
    </row>
    <row r="9" spans="2:13" x14ac:dyDescent="0.35">
      <c r="B9" t="s">
        <v>231</v>
      </c>
      <c r="C9" s="6">
        <v>44903</v>
      </c>
      <c r="D9" s="8">
        <v>575.54999999999995</v>
      </c>
      <c r="E9" s="8">
        <v>951.4</v>
      </c>
      <c r="F9" s="8">
        <v>2211.5500000000002</v>
      </c>
      <c r="H9" s="11"/>
      <c r="I9" s="11"/>
      <c r="J9" s="11"/>
      <c r="K9" s="11"/>
      <c r="L9" s="11"/>
      <c r="M9" s="11"/>
    </row>
    <row r="10" spans="2:13" x14ac:dyDescent="0.35">
      <c r="B10" t="s">
        <v>224</v>
      </c>
      <c r="C10" s="6">
        <v>44838</v>
      </c>
      <c r="D10" s="8">
        <v>611.15</v>
      </c>
      <c r="E10" s="8">
        <v>818.85</v>
      </c>
      <c r="F10" s="8">
        <v>2185.1</v>
      </c>
      <c r="H10" s="11"/>
      <c r="I10" s="11"/>
      <c r="J10" s="11"/>
      <c r="K10" s="11"/>
      <c r="L10" s="11"/>
      <c r="M10" s="11"/>
    </row>
    <row r="11" spans="2:13" x14ac:dyDescent="0.35">
      <c r="B11" t="s">
        <v>223</v>
      </c>
      <c r="C11" s="6">
        <v>44848</v>
      </c>
      <c r="D11" s="8">
        <v>478.36</v>
      </c>
      <c r="E11" s="8">
        <v>993.9</v>
      </c>
      <c r="F11" s="8">
        <v>2149.61</v>
      </c>
      <c r="H11" s="11"/>
      <c r="I11" s="11"/>
      <c r="J11" s="11"/>
      <c r="K11" s="11"/>
      <c r="L11" s="11"/>
      <c r="M11" s="11"/>
    </row>
    <row r="12" spans="2:13" x14ac:dyDescent="0.35">
      <c r="B12" t="s">
        <v>221</v>
      </c>
      <c r="C12" s="6">
        <v>44923</v>
      </c>
      <c r="D12" s="8">
        <v>529.32000000000005</v>
      </c>
      <c r="E12" s="8">
        <v>917.83</v>
      </c>
      <c r="F12" s="8">
        <v>2146.35</v>
      </c>
      <c r="H12" s="11"/>
      <c r="I12" s="11"/>
      <c r="J12" s="11"/>
      <c r="K12" s="11"/>
      <c r="L12" s="11"/>
      <c r="M12" s="11"/>
    </row>
    <row r="13" spans="2:13" x14ac:dyDescent="0.35">
      <c r="B13" t="s">
        <v>224</v>
      </c>
      <c r="C13" s="6">
        <v>44883</v>
      </c>
      <c r="D13" s="8">
        <v>397.13</v>
      </c>
      <c r="E13" s="8">
        <v>993.57</v>
      </c>
      <c r="F13" s="8">
        <v>2027.88</v>
      </c>
    </row>
  </sheetData>
  <mergeCells count="1">
    <mergeCell ref="H2:M1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7352-F314-41A6-888E-03174AB67DA8}">
  <dimension ref="B2:P23"/>
  <sheetViews>
    <sheetView workbookViewId="0"/>
  </sheetViews>
  <sheetFormatPr defaultRowHeight="14.5" x14ac:dyDescent="0.35"/>
  <cols>
    <col min="1" max="1" width="3.6328125" customWidth="1"/>
    <col min="2" max="2" width="17.26953125" customWidth="1"/>
    <col min="3" max="3" width="11.08984375" customWidth="1"/>
    <col min="4" max="4" width="10.26953125" customWidth="1"/>
    <col min="5" max="5" width="10" customWidth="1"/>
    <col min="6" max="6" width="12.453125" customWidth="1"/>
    <col min="7" max="7" width="9.08984375" customWidth="1"/>
    <col min="8" max="8" width="13.36328125" customWidth="1"/>
    <col min="9" max="9" width="10" customWidth="1"/>
    <col min="10" max="10" width="12.1796875" customWidth="1"/>
    <col min="11" max="11" width="10" customWidth="1"/>
    <col min="12" max="12" width="16.26953125" customWidth="1"/>
    <col min="13" max="13" width="16.81640625" customWidth="1"/>
    <col min="14" max="14" width="9.08984375" customWidth="1"/>
    <col min="15" max="15" width="10.90625" customWidth="1"/>
    <col min="16" max="16" width="14.26953125" bestFit="1" customWidth="1"/>
  </cols>
  <sheetData>
    <row r="2" spans="2:16" x14ac:dyDescent="0.35">
      <c r="B2" t="s">
        <v>199</v>
      </c>
      <c r="C2" t="s">
        <v>200</v>
      </c>
      <c r="D2" t="s">
        <v>201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238</v>
      </c>
    </row>
    <row r="3" spans="2:16" hidden="1" x14ac:dyDescent="0.35">
      <c r="B3" t="s">
        <v>214</v>
      </c>
      <c r="C3" s="6">
        <v>44835</v>
      </c>
      <c r="D3" s="6">
        <v>44837</v>
      </c>
      <c r="E3">
        <v>2</v>
      </c>
      <c r="F3" s="8"/>
      <c r="G3" s="8"/>
      <c r="H3" s="8"/>
      <c r="I3" s="8">
        <v>761.95</v>
      </c>
      <c r="J3" s="8">
        <v>28</v>
      </c>
      <c r="K3" s="8">
        <v>235.59</v>
      </c>
      <c r="L3" s="8">
        <v>88.56</v>
      </c>
      <c r="M3" s="8"/>
      <c r="N3" s="8"/>
      <c r="O3" s="8">
        <v>1114.0999999999999</v>
      </c>
      <c r="P3" s="8">
        <f>Table2[[#This Row],[Total]]/Table2[[#This Row],[Days]]</f>
        <v>557.04999999999995</v>
      </c>
    </row>
    <row r="4" spans="2:16" hidden="1" x14ac:dyDescent="0.35">
      <c r="B4" t="s">
        <v>227</v>
      </c>
      <c r="C4" s="6">
        <v>44836</v>
      </c>
      <c r="D4" s="6">
        <v>44839</v>
      </c>
      <c r="E4">
        <v>3</v>
      </c>
      <c r="F4" s="8">
        <v>102.15</v>
      </c>
      <c r="G4" s="8">
        <v>93.5</v>
      </c>
      <c r="H4" s="8">
        <v>25</v>
      </c>
      <c r="I4" s="8">
        <v>787.35</v>
      </c>
      <c r="J4" s="8"/>
      <c r="K4" s="8">
        <v>299.95</v>
      </c>
      <c r="L4" s="8">
        <v>150.1</v>
      </c>
      <c r="M4" s="8">
        <v>334</v>
      </c>
      <c r="N4" s="8"/>
      <c r="O4" s="8">
        <v>1792.05</v>
      </c>
      <c r="P4" s="8">
        <f>Table2[[#This Row],[Total]]/Table2[[#This Row],[Days]]</f>
        <v>597.35</v>
      </c>
    </row>
    <row r="5" spans="2:16" hidden="1" x14ac:dyDescent="0.35">
      <c r="B5" t="s">
        <v>229</v>
      </c>
      <c r="C5" s="6">
        <v>44838</v>
      </c>
      <c r="D5" s="6">
        <v>44842</v>
      </c>
      <c r="E5">
        <v>4</v>
      </c>
      <c r="F5" s="8">
        <v>136.19999999999999</v>
      </c>
      <c r="G5" s="8">
        <v>156.4</v>
      </c>
      <c r="H5" s="8"/>
      <c r="I5" s="8">
        <v>578.95000000000005</v>
      </c>
      <c r="J5" s="8"/>
      <c r="K5" s="8">
        <v>427.2</v>
      </c>
      <c r="L5" s="8">
        <v>220.22</v>
      </c>
      <c r="M5" s="8">
        <v>71</v>
      </c>
      <c r="N5" s="8"/>
      <c r="O5" s="8">
        <v>1589.97</v>
      </c>
      <c r="P5" s="8">
        <f>Table2[[#This Row],[Total]]/Table2[[#This Row],[Days]]</f>
        <v>397.49250000000001</v>
      </c>
    </row>
    <row r="6" spans="2:16" hidden="1" x14ac:dyDescent="0.35">
      <c r="B6" t="s">
        <v>216</v>
      </c>
      <c r="C6" s="6">
        <v>44837</v>
      </c>
      <c r="D6" s="6">
        <v>44842</v>
      </c>
      <c r="E6">
        <v>5</v>
      </c>
      <c r="F6" s="8">
        <v>170.25</v>
      </c>
      <c r="G6" s="8">
        <v>92.65</v>
      </c>
      <c r="H6" s="8">
        <v>33</v>
      </c>
      <c r="I6" s="8"/>
      <c r="J6" s="8"/>
      <c r="K6" s="8">
        <v>609.14</v>
      </c>
      <c r="L6" s="8">
        <v>215.96</v>
      </c>
      <c r="M6" s="8"/>
      <c r="N6" s="8"/>
      <c r="O6" s="8">
        <v>1121</v>
      </c>
      <c r="P6" s="8">
        <f>Table2[[#This Row],[Total]]/Table2[[#This Row],[Days]]</f>
        <v>224.2</v>
      </c>
    </row>
    <row r="7" spans="2:16" x14ac:dyDescent="0.35">
      <c r="B7" t="s">
        <v>223</v>
      </c>
      <c r="C7" s="6">
        <v>44837</v>
      </c>
      <c r="D7" s="6">
        <v>44843</v>
      </c>
      <c r="E7">
        <v>6</v>
      </c>
      <c r="F7" s="8">
        <v>204.3</v>
      </c>
      <c r="G7" s="8">
        <v>161.5</v>
      </c>
      <c r="H7" s="8"/>
      <c r="I7" s="8">
        <v>775.55</v>
      </c>
      <c r="J7" s="8"/>
      <c r="K7" s="8">
        <v>863.63</v>
      </c>
      <c r="L7" s="8">
        <v>210.18</v>
      </c>
      <c r="M7" s="8"/>
      <c r="N7" s="8"/>
      <c r="O7" s="8">
        <v>2215.16</v>
      </c>
      <c r="P7" s="8">
        <f>Table2[[#This Row],[Total]]/Table2[[#This Row],[Days]]</f>
        <v>369.19333333333333</v>
      </c>
    </row>
    <row r="8" spans="2:16" x14ac:dyDescent="0.35">
      <c r="B8" t="s">
        <v>224</v>
      </c>
      <c r="C8" s="6">
        <v>44838</v>
      </c>
      <c r="D8" s="6">
        <v>44845</v>
      </c>
      <c r="E8">
        <v>7</v>
      </c>
      <c r="F8" s="8">
        <v>238.35</v>
      </c>
      <c r="G8" s="8">
        <v>73.099999999999994</v>
      </c>
      <c r="H8" s="8">
        <v>12</v>
      </c>
      <c r="I8" s="8">
        <v>611.15</v>
      </c>
      <c r="J8" s="8"/>
      <c r="K8" s="8">
        <v>818.85</v>
      </c>
      <c r="L8" s="8">
        <v>350.15</v>
      </c>
      <c r="M8" s="8"/>
      <c r="N8" s="8">
        <v>81.5</v>
      </c>
      <c r="O8" s="8">
        <v>2185.1</v>
      </c>
      <c r="P8" s="8">
        <f>Table2[[#This Row],[Total]]/Table2[[#This Row],[Days]]</f>
        <v>312.15714285714284</v>
      </c>
    </row>
    <row r="9" spans="2:16" hidden="1" x14ac:dyDescent="0.35">
      <c r="B9" t="s">
        <v>221</v>
      </c>
      <c r="C9" s="6">
        <v>44843</v>
      </c>
      <c r="D9" s="6">
        <v>44848</v>
      </c>
      <c r="E9">
        <v>5</v>
      </c>
      <c r="F9" s="8">
        <v>170.25</v>
      </c>
      <c r="G9" s="8">
        <v>89.25</v>
      </c>
      <c r="H9" s="8">
        <v>15</v>
      </c>
      <c r="I9" s="8">
        <v>279.33</v>
      </c>
      <c r="J9" s="8"/>
      <c r="K9" s="8">
        <v>544.37</v>
      </c>
      <c r="L9" s="8">
        <v>235.37</v>
      </c>
      <c r="M9" s="8"/>
      <c r="N9" s="8"/>
      <c r="O9" s="8">
        <v>1333.57</v>
      </c>
      <c r="P9" s="8">
        <f>Table2[[#This Row],[Total]]/Table2[[#This Row],[Days]]</f>
        <v>266.714</v>
      </c>
    </row>
    <row r="10" spans="2:16" hidden="1" x14ac:dyDescent="0.35">
      <c r="B10" t="s">
        <v>216</v>
      </c>
      <c r="C10" s="6">
        <v>44847</v>
      </c>
      <c r="D10" s="6">
        <v>44849</v>
      </c>
      <c r="E10">
        <v>2</v>
      </c>
      <c r="F10" s="8"/>
      <c r="G10" s="8"/>
      <c r="H10" s="8"/>
      <c r="I10" s="8">
        <v>256.58999999999997</v>
      </c>
      <c r="J10" s="8">
        <v>32</v>
      </c>
      <c r="K10" s="8">
        <v>325.98</v>
      </c>
      <c r="L10" s="8">
        <v>114.93</v>
      </c>
      <c r="M10" s="8">
        <v>860</v>
      </c>
      <c r="N10" s="8"/>
      <c r="O10" s="8">
        <v>1589.5</v>
      </c>
      <c r="P10" s="8">
        <f>Table2[[#This Row],[Total]]/Table2[[#This Row],[Days]]</f>
        <v>794.75</v>
      </c>
    </row>
    <row r="11" spans="2:16" x14ac:dyDescent="0.35">
      <c r="B11" t="s">
        <v>225</v>
      </c>
      <c r="C11" s="6">
        <v>44845</v>
      </c>
      <c r="D11" s="6">
        <v>44851</v>
      </c>
      <c r="E11">
        <v>6</v>
      </c>
      <c r="F11" s="8">
        <v>204.3</v>
      </c>
      <c r="G11" s="8">
        <v>42.5</v>
      </c>
      <c r="H11" s="8">
        <v>35</v>
      </c>
      <c r="I11" s="8"/>
      <c r="J11" s="8"/>
      <c r="K11" s="8">
        <v>893.8</v>
      </c>
      <c r="L11" s="8">
        <v>258.23</v>
      </c>
      <c r="M11" s="8"/>
      <c r="N11" s="8"/>
      <c r="O11" s="8">
        <v>1433.83</v>
      </c>
      <c r="P11" s="8">
        <f>Table2[[#This Row],[Total]]/Table2[[#This Row],[Days]]</f>
        <v>238.97166666666666</v>
      </c>
    </row>
    <row r="12" spans="2:16" x14ac:dyDescent="0.35">
      <c r="B12" t="s">
        <v>217</v>
      </c>
      <c r="C12" s="6">
        <v>44846</v>
      </c>
      <c r="D12" s="6">
        <v>44852</v>
      </c>
      <c r="E12">
        <v>6</v>
      </c>
      <c r="F12" s="8"/>
      <c r="G12" s="8"/>
      <c r="H12" s="8"/>
      <c r="I12" s="8">
        <v>458.31</v>
      </c>
      <c r="J12" s="8">
        <v>126</v>
      </c>
      <c r="K12" s="8">
        <v>737.87</v>
      </c>
      <c r="L12" s="8">
        <v>180.44</v>
      </c>
      <c r="M12" s="8"/>
      <c r="N12" s="8"/>
      <c r="O12" s="8">
        <v>1502.62</v>
      </c>
      <c r="P12" s="8">
        <f>Table2[[#This Row],[Total]]/Table2[[#This Row],[Days]]</f>
        <v>250.43666666666664</v>
      </c>
    </row>
    <row r="13" spans="2:16" x14ac:dyDescent="0.35">
      <c r="B13" t="s">
        <v>223</v>
      </c>
      <c r="C13" s="6">
        <v>44848</v>
      </c>
      <c r="D13" s="6">
        <v>44855</v>
      </c>
      <c r="E13">
        <v>7</v>
      </c>
      <c r="F13" s="8">
        <v>238.35</v>
      </c>
      <c r="G13" s="8">
        <v>91.8</v>
      </c>
      <c r="H13" s="8"/>
      <c r="I13" s="8">
        <v>478.36</v>
      </c>
      <c r="J13" s="8"/>
      <c r="K13" s="8">
        <v>993.9</v>
      </c>
      <c r="L13" s="8">
        <v>308.2</v>
      </c>
      <c r="M13" s="8">
        <v>39</v>
      </c>
      <c r="N13" s="8"/>
      <c r="O13" s="8">
        <v>2149.61</v>
      </c>
      <c r="P13" s="8">
        <f>Table2[[#This Row],[Total]]/Table2[[#This Row],[Days]]</f>
        <v>307.08714285714285</v>
      </c>
    </row>
    <row r="14" spans="2:16" x14ac:dyDescent="0.35">
      <c r="B14" t="s">
        <v>230</v>
      </c>
      <c r="C14" s="6">
        <v>44849</v>
      </c>
      <c r="D14" s="6">
        <v>44855</v>
      </c>
      <c r="E14">
        <v>6</v>
      </c>
      <c r="F14" s="8">
        <v>204.3</v>
      </c>
      <c r="G14" s="8">
        <v>112.2</v>
      </c>
      <c r="H14" s="8">
        <v>22</v>
      </c>
      <c r="I14" s="8">
        <v>799.6</v>
      </c>
      <c r="J14" s="8"/>
      <c r="K14" s="8">
        <v>785.69</v>
      </c>
      <c r="L14" s="8">
        <v>288.42</v>
      </c>
      <c r="M14" s="8"/>
      <c r="N14" s="8"/>
      <c r="O14" s="8">
        <v>2212.21</v>
      </c>
      <c r="P14" s="8">
        <f>Table2[[#This Row],[Total]]/Table2[[#This Row],[Days]]</f>
        <v>368.70166666666665</v>
      </c>
    </row>
    <row r="15" spans="2:16" x14ac:dyDescent="0.35">
      <c r="B15" t="s">
        <v>218</v>
      </c>
      <c r="C15" s="6">
        <v>44849</v>
      </c>
      <c r="D15" s="6">
        <v>44856</v>
      </c>
      <c r="E15">
        <v>7</v>
      </c>
      <c r="F15" s="8"/>
      <c r="G15" s="8"/>
      <c r="H15" s="8"/>
      <c r="I15" s="8">
        <v>438.82</v>
      </c>
      <c r="J15" s="8">
        <v>154</v>
      </c>
      <c r="K15" s="8">
        <v>860.69</v>
      </c>
      <c r="L15" s="8">
        <v>252.68</v>
      </c>
      <c r="M15" s="8">
        <v>495</v>
      </c>
      <c r="N15" s="8">
        <v>68.81</v>
      </c>
      <c r="O15" s="8">
        <v>2270</v>
      </c>
      <c r="P15" s="8">
        <f>Table2[[#This Row],[Total]]/Table2[[#This Row],[Days]]</f>
        <v>324.28571428571428</v>
      </c>
    </row>
    <row r="16" spans="2:16" x14ac:dyDescent="0.35">
      <c r="B16" t="s">
        <v>232</v>
      </c>
      <c r="C16" s="6">
        <v>44852</v>
      </c>
      <c r="D16" s="6">
        <v>44858</v>
      </c>
      <c r="E16">
        <v>6</v>
      </c>
      <c r="F16" s="8">
        <v>204.3</v>
      </c>
      <c r="G16" s="8">
        <v>146.19999999999999</v>
      </c>
      <c r="H16" s="8">
        <v>19</v>
      </c>
      <c r="I16" s="8"/>
      <c r="J16" s="8"/>
      <c r="K16" s="8">
        <v>923.98</v>
      </c>
      <c r="L16" s="8">
        <v>258.76</v>
      </c>
      <c r="M16" s="8"/>
      <c r="N16" s="8"/>
      <c r="O16" s="8">
        <v>1552.24</v>
      </c>
      <c r="P16" s="8">
        <f>Table2[[#This Row],[Total]]/Table2[[#This Row],[Days]]</f>
        <v>258.70666666666665</v>
      </c>
    </row>
    <row r="17" spans="2:16" hidden="1" x14ac:dyDescent="0.35">
      <c r="B17" t="s">
        <v>228</v>
      </c>
      <c r="C17" s="6">
        <v>44853</v>
      </c>
      <c r="D17" s="6">
        <v>44858</v>
      </c>
      <c r="E17">
        <v>5</v>
      </c>
      <c r="F17" s="8">
        <v>170.25</v>
      </c>
      <c r="G17" s="8">
        <v>166.6</v>
      </c>
      <c r="H17" s="8">
        <v>33</v>
      </c>
      <c r="I17" s="8">
        <v>558.80999999999995</v>
      </c>
      <c r="J17" s="8"/>
      <c r="K17" s="8">
        <v>814.46</v>
      </c>
      <c r="L17" s="8">
        <v>155.47999999999999</v>
      </c>
      <c r="M17" s="8"/>
      <c r="N17" s="8"/>
      <c r="O17" s="8">
        <v>1898.6</v>
      </c>
      <c r="P17" s="8">
        <f>Table2[[#This Row],[Total]]/Table2[[#This Row],[Days]]</f>
        <v>379.71999999999997</v>
      </c>
    </row>
    <row r="18" spans="2:16" x14ac:dyDescent="0.35">
      <c r="B18" t="s">
        <v>219</v>
      </c>
      <c r="C18" s="6">
        <v>44854</v>
      </c>
      <c r="D18" s="6">
        <v>44861</v>
      </c>
      <c r="E18">
        <v>7</v>
      </c>
      <c r="F18" s="8"/>
      <c r="G18" s="8"/>
      <c r="H18" s="8"/>
      <c r="I18" s="8">
        <v>424.56</v>
      </c>
      <c r="J18" s="8">
        <v>112</v>
      </c>
      <c r="K18" s="8">
        <v>951.96</v>
      </c>
      <c r="L18" s="8">
        <v>343.83</v>
      </c>
      <c r="M18" s="8"/>
      <c r="N18" s="8"/>
      <c r="O18" s="8">
        <v>1832.35</v>
      </c>
      <c r="P18" s="8">
        <f>Table2[[#This Row],[Total]]/Table2[[#This Row],[Days]]</f>
        <v>261.76428571428568</v>
      </c>
    </row>
    <row r="19" spans="2:16" hidden="1" x14ac:dyDescent="0.35">
      <c r="B19" t="s">
        <v>231</v>
      </c>
      <c r="C19" s="6">
        <v>44859</v>
      </c>
      <c r="D19" s="6">
        <v>44863</v>
      </c>
      <c r="E19">
        <v>4</v>
      </c>
      <c r="F19" s="8">
        <v>136.19999999999999</v>
      </c>
      <c r="G19" s="8">
        <v>25.5</v>
      </c>
      <c r="H19" s="8">
        <v>30</v>
      </c>
      <c r="I19" s="8">
        <v>542.71</v>
      </c>
      <c r="J19" s="8"/>
      <c r="K19" s="8">
        <v>563.11</v>
      </c>
      <c r="L19" s="8">
        <v>196.11</v>
      </c>
      <c r="M19" s="8"/>
      <c r="N19" s="8"/>
      <c r="O19" s="8">
        <v>1493.63</v>
      </c>
      <c r="P19" s="8">
        <f>Table2[[#This Row],[Total]]/Table2[[#This Row],[Days]]</f>
        <v>373.40750000000003</v>
      </c>
    </row>
    <row r="20" spans="2:16" hidden="1" x14ac:dyDescent="0.35">
      <c r="B20" t="s">
        <v>217</v>
      </c>
      <c r="C20" s="6">
        <v>44860</v>
      </c>
      <c r="D20" s="6">
        <v>44863</v>
      </c>
      <c r="E20">
        <v>3</v>
      </c>
      <c r="F20" s="8"/>
      <c r="G20" s="8"/>
      <c r="H20" s="8"/>
      <c r="I20" s="8">
        <v>641.52</v>
      </c>
      <c r="J20" s="8">
        <v>57</v>
      </c>
      <c r="K20" s="8">
        <v>311.60000000000002</v>
      </c>
      <c r="L20" s="8">
        <v>93.5</v>
      </c>
      <c r="M20" s="8">
        <v>334</v>
      </c>
      <c r="N20" s="8"/>
      <c r="O20" s="8">
        <v>1437.62</v>
      </c>
      <c r="P20" s="8">
        <f>Table2[[#This Row],[Total]]/Table2[[#This Row],[Days]]</f>
        <v>479.20666666666665</v>
      </c>
    </row>
    <row r="21" spans="2:16" hidden="1" x14ac:dyDescent="0.35">
      <c r="B21" t="s">
        <v>225</v>
      </c>
      <c r="C21" s="6">
        <v>44861</v>
      </c>
      <c r="D21" s="6">
        <v>44863</v>
      </c>
      <c r="E21">
        <v>2</v>
      </c>
      <c r="F21" s="8">
        <v>68.099999999999994</v>
      </c>
      <c r="G21" s="8">
        <v>102</v>
      </c>
      <c r="H21" s="8">
        <v>18</v>
      </c>
      <c r="I21" s="8"/>
      <c r="J21" s="8"/>
      <c r="K21" s="8">
        <v>267.16000000000003</v>
      </c>
      <c r="L21" s="8">
        <v>100.87</v>
      </c>
      <c r="M21" s="8"/>
      <c r="N21" s="8">
        <v>10.68</v>
      </c>
      <c r="O21" s="8">
        <v>566.80999999999995</v>
      </c>
      <c r="P21" s="8">
        <f>Table2[[#This Row],[Total]]/Table2[[#This Row],[Days]]</f>
        <v>283.40499999999997</v>
      </c>
    </row>
    <row r="22" spans="2:16" hidden="1" x14ac:dyDescent="0.35">
      <c r="B22" t="s">
        <v>220</v>
      </c>
      <c r="C22" s="6">
        <v>44858</v>
      </c>
      <c r="D22" s="6">
        <v>44863</v>
      </c>
      <c r="E22">
        <v>5</v>
      </c>
      <c r="F22" s="8"/>
      <c r="G22" s="8"/>
      <c r="H22" s="8"/>
      <c r="I22" s="8">
        <v>774.46</v>
      </c>
      <c r="J22" s="8">
        <v>70</v>
      </c>
      <c r="K22" s="8">
        <v>624.62</v>
      </c>
      <c r="L22" s="8">
        <v>285.87</v>
      </c>
      <c r="M22" s="8">
        <v>651</v>
      </c>
      <c r="N22" s="8"/>
      <c r="O22" s="8">
        <v>2405.9499999999998</v>
      </c>
      <c r="P22" s="8">
        <f>Table2[[#This Row],[Total]]/Table2[[#This Row],[Days]]</f>
        <v>481.18999999999994</v>
      </c>
    </row>
    <row r="23" spans="2:16" x14ac:dyDescent="0.35">
      <c r="B23" t="s">
        <v>213</v>
      </c>
      <c r="I23" s="8">
        <f>SUBTOTAL(109,Table2[Flights])</f>
        <v>3986.35</v>
      </c>
      <c r="K23" s="8">
        <f>SUBTOTAL(101,Table2[Hotels])</f>
        <v>870.04111111111115</v>
      </c>
      <c r="O23" s="8">
        <f>SUBTOTAL(109,Table2[Total])</f>
        <v>17353.12</v>
      </c>
      <c r="P23" s="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<?xml version="1.0" encoding="utf-8"?>
<properties xmlns="http://schemas.myeducator.com/properties/myeducator/atlas_meta_I9HPn2dmEoxC">H4sIAAAAAAAAA+1ZW2/TSBT+KyM/gZQtTUrZEiEkklKxgt1FUJ6gsib2OB4x9ng946TZbv/7fnOz3aQNEdCyXdGX2nM5lznfOefz5CKiSvF5WbBSR+OyEWIQFTJtBIvGF/4pLptixupoHO3j79fHT6JBVNVc1jHVmhWVVtF4fxDVWIqnj9jGlKJzSIhOuBAsJbMVyZoy0VyW2FvSwsxNc1prRU5kU6bkD0ZrMmVCYF5pVjlB7aZxlJjVcVWzJGfJZ2MBrWmhjJVuKjGbx9HkCHN+RIqmwN5RGKjlMhofDaKUahqrnDHdmhFdXp5dDn6s6b+NNkx/uqvpZ4NIU/XZ6U6ZplzgOXrWiOfPBH/+ngmWaKJzRmhV1RLho5oRI43MWCZrRnipWK15OberrNY9s/VE1gXV3SBZcp3bV821YORTdCo1FeTlecUgwhzYaU0XTJApVMxlvfoUkQdmk2ycmL8abDBnQwpaf1YPiRevZbX37BFUGrWnrT6FjSIlKVeVoCsiS+jAicNowmiSE5k545w2zhSW2JHzX+g5V53IY0lKqVtBlAg2Z2XaLXgraMKCKZjNNElkXbK61WENkguMmFdVsYRnHCipaTlnYdVSwisTIi/5kRTPEdlUcm1inkoE6WNE0zS28jDlA4mHJ+PXSK8LO+vMM1sWXPGZScmMCsUuAyg8Gg/I77LUeQseGxeMfyku3YZVZVFtQTcVDVBcsxTTQibUgfgiMsdhcwlnAyjCiPPYnK/ZOBq/HkWXZwAhEsK5lwJxmm16GIw9Q7pFOS87HP/zYoh5DoejFy+6XPMbgvHeHUWC5EpCCKw47FcgL8WI6TK6g5RxmHBl4YAIIzP1WnKTU79k2k4HRUOT5lQ3xnNbFDLG0hlFZo8jUwJyuYyzmrG4G7dhCxLeSKVtwXSvLykQBnOHpvx4uyc32I0MNfheUNHgH0XWbvHg2CT3OwvMa/0Y3Y4fo54f05vO31aOLwQgrLlDy00VZecWkrJUum5QMylJQkYQV5ZDGXBV5pOHL6pcm/ioH1hbVCZCrpyYTEygVtm6ZcccnruytQfTzwthj04vjxamkTWIeMYF42XVtP055yn7UGouwoBPeD/LRBWea6YqOMJMDW8EDcMpaqipRf5QFpAnw1wiy4zPwxviYzLKvcDy97RThDaSveopA1ng2Sq8XQ2QYrppF84bntIyaQV9uM5JyvuOUB6bwMQIF6sXnC17E0o36SpGSS9b3TjZP8spAmBq0G7BPzSwvePGObUQ4QpIQus4zQFZV+yUfffV2qDmq1rosW90m50xx9vfUARQ2hZJQsd1LWe95ZothbXrtnvljm1ycjB+fbilTSJzN7pkd9gbjXL3OHxNy3z6rS2zZ/k1XXMyarvmpFdDO5d2aJSTe9ooJ7s1ygdT4OXg4bc2zDvw56aGue7P4/Hrx9/sz/7e4e14BME9n4539OkQOX1ffHp5O8TmDhB2coPlqWTOal6C76Ss/TxaNz+nqpu5dcO/JyNj57TgpWtaa1zMlnzf4n7SsP8NDSNbbxJc1AUggW8psB5LU7RNBgjfuEbwolyKXyE5Xu7MXobUvFKO6r3i85wpJLxh/1+kcEEBXOnkhSQMtsyk1rK4ql3nIH/ADqCYmYK6zD0ZdJ7VrAL+MOtO47vztu2U7Y1JuKl/OR6NT4YHm7ytkor7u7KJdTAabOdyRurmdcdNJ79O2vzuTaZ25JkaPmEj153i2apleUZOx98OxlO4spXAXfHdKu3Tt262f/Ex7crtle1byNv0npK36Y7k7fhgfDy8D+xtuiN7OzkwaXAfHLqJuv1HyUJn+H3jZ9fTHFPA16lNVxW2XThlAhVQq4H/2tdMdC2uu4wKxXw4JNoWT9tKcurW5b6I9i6vfnKjH8uNOpgYSL96B+pQAuI1WSLPeGEavUKntj3Q0oCVbBDPBSM4CXOGKVGSZLTu7qIgQKwUVwEL/lqS+Wv2PfRQYty0kz2NCtRJyQIC0tQ2b2DE8zZCZ4HkGII2sFYsuQCIamZoGw0VETotvC2w2tuYcO9hGrSIU7ZoD60fIvsSQzuKS1O02BCMls0NAcf5zGuadvDwv8P5t5DkhxY4Cc4yRskGEBxLaPGKXEn6Q+tgqVnBUg7TLWpVT7tR2N9psOtKh6tbeDAHn2iWxvhU4UVTxJZ2xRDof2Z1Zr6F1+C6vZGbagsYdfgdF6efrhyjwvmh/IGryO447A+I5qdHQSvFLDPbD6uH4WHUMjK3PIOZKEFm9eXlvwgkxkROHgAA</properties>
</file>

<file path=customXml/item2.xml><?xml version="1.0" encoding="utf-8"?>
<properties xmlns="http://schemas.myeducator.com/properties/myeducator/atlas_meta_I9HPn2diq4hv">H4sIAAAAAAAAA+1a227bOBD9FUIv++IG9UXYhVEUSGxnU6CXIHV2H9JAoKWxTYQStSRl19vNv++QlCw5dhw5TuMGSJ5E8TZnZjjnyOEPjyrFJkkMifa6ScZ5w4tFlHHwuj/ypyDJ4hFIr+u9xb/fO77X8FLJhAyo1hCnWnndtw1P4lB8usJpoBSd4AreKeMcIjJakHGWhJqJBOcmNDZ9n1jC4iwmx+cfyAykwk5CZ5RxOsLdG57SkLr1lnO7XsySgKYsyCcYS6iksTLWVt93m0d/3N5e3zbqWnPOZkIPzdaKnIosiQiacz5skr+FvFFTAH2fSamZGaQSwimENysWuS43G7cYNr39bdJTQLtaT2pX68nsaj+pXe0ns6vzpHZ1nswu/0nt8q1d1w1PU3XjFopA45HCZ+9dxt+/4+x9TwLVQCgpzSrs+WZy9JtH5oVNJFMsmdi+iGpajutjqzrwyKx8zmnoOhcKO6mygy/EXFW6KQnRBZqI8drIvyjPQB0hxEgwbQBGAkFceQoKlA17iq4bV14okjGbZBKC86GHoTAWWcSfndPN0salWRxTyf6FkwW+7JmtPeMhY9XacOM87MMI3b9vjwOVpeu8a0wEb8pM+bQ2/HfSxtEswubxcZkDdmeiJUuVSRIOyURPTTAFTkVL/GoBzWeb6WWGDZ0vyUc6Aq7ImAGPyFjIPJOa1XgyRRKh0dMS00ZXMhGHlWtUtm+a5KM6M4liU3cMEI0o5lvXM16cinkwlgBB+X5MuYJihY9CacsCrjmgMgEE0TSHJEdzsobGxfvxSIy780WeF0pvHyjLjLTVwh6GEtYFTAwP5svhueh9ufw8fF50/TV0d4BEAoqoJFhdXE3II0RoouYoFlYC5aZNDZx8lAVYgdX6ObBathjCd50DObsgMU0QmDTRQPNDMAMJHYlMWxhO65jqFGFFIChvuFgAqN/w7NIZ8CNyBlj2MgwzZzcr5Wx1ujvqAgWJ7eBUmQ0QAonRa1MMLvIAwjIGLdxmOG5hB0JkiuD3mNuIzLUfpdjOFMgx48CSNFuKtSmL4DLRjBcvNNNGvOW9wNPiWYJKRaLgVMg447R4HYkETLHN3TnD9UTR52ps0cKIm/rkGpjjX2m5USrF+KyyGSpHNl4UrdXQYlXNlgMnGYsohqFoX24CSVkVCGWBCWmAgQY5YzCvdCidRYsg5TRZ7o1R+5L0BAYSNNRLG9+chp2Zs7U/c34yqXEvdX7zelSSC5TqiGFn2mzVos3KDmvs+TWLN3KntfoB8mztTJ4nFfJEo6Q1Ck+b0ttp82Qn2mzVI5vWoWjzpDZt1kZyKNo8qU2bm6Cs0ia2VkGVjPn18tPzwtrEl609+LL1S/JlhfO0IDcJHgcHQ1nyC5dHVNlAAg2nBSlWae+V2F4esbX3J7ZBrqO2cNtQYPLszGrtWqxm167NZ4WxD1Bae2dK65XH3FpEhlZTmoK23HMrt/V24rZ2PUZoH4rberW5rTaSQ3Fbrza3bYKyldvaVW6zXc8IaxO3tffgtvZL4jZtz6j77iPwPQUkmQq7Fd+GJMpkURIt1b2xVEdSkEy8fsm9QMLrPI7wyI6Md+drryd4FidqdZnHsWJnIyvmG2z6dGs8D2V26lHmcXNJmf0KZbqDOHAH0VTK5QnEZ3vmtrNnfyf27NTjnM6h2LO/zp4uwHsDWlnmeTHVptHaYA6lCPrr1LkDlFVF4D5pK6AO97XbH2xQBJ09FEGnhiL4abBqKgIF4Nj9QSkwkuIGEmJ+TS5q0qsAeHkCwH8eAXCGYdjwS+4WjXDKOHoq1wi9gt9t19h2mXSNmEK3LdBQviBTs4f9mcblax9CMP+jeFBD+LW+rB2Ee3VCbq+d8SGZMcUM4XevvC+hFiNbCT6LmTUIt1tXJY/UGf7On+aDak3ycz9vlxODneSEX4ew5GGkxGCddp0DHoeidOA6mLdH/s+BgwtXAK2Tb27QLOfgzYgonqVfFdI68dpy8fgQHUoZDU7rKqNNULb+VuIf8LeSwZ8blJG/hzLyX5Ayussyq6poPhW5dsKoIe4qB71Ko8NJo3uDbFKOqhuM1kJkJs6I3PiMKBFDfgQXJJdVldsTuUB2eWDvPtBNP4mRXH5VL8bhJu4I2IVKW35T5B880eYyHMqe47EpwaGZXmiyyiINa+6ccV6sRTFDJcPlxZhgPmiG/nkTTgVDcVUu6y0TqnJXD19yEVIeRDBburkaVNsIaBRBEmGtKbIJRUeS3ZMiqYSJpFGZUPlVvrxV/ADq21QLsZYEyFeYOu4q4DLDtWRh9dXd9JIQQ8TQdJvnqrK72bA602S7KxWuiOGD+boJNURB7C7oBpImEwhwwfyirzPzHFFjCCpv7vvdFUmsuEmMcYvQGVpmmJwKSx8EoSjdYa8t4hvOaarM3B/e22J0s3hoFQ/t4qHjHm6LBcZoOGpBM//29n+2LtYx4iwAAA==</properties>
</file>

<file path=customXml/item3.xml><?xml version="1.0" encoding="utf-8"?>
<properties xmlns="http://schemas.myeducator.com/properties/myeducator/atlas_meta_I9HPn2diTZov">H4sIAAAAAAAAA+1Z3U8cNxD/V6x9aqUrggNCg6JIcHckD21AQNqHJlr5dmfvLLz21vYeIMr/3hnb+wF3fDRNKFXg4fDanrFn5jcftq8Sbq2YqRKUS3ZVLeUgKXVeS0h2r2IrVXU5BZPsJuv4t7O1lQySyghtUu4clJWzye76IDE4FVt/IBlYy2fIITkQUkLOppesqFXmhFZIq3hJY6d8igTsQNcqZ1oxNwd2avgCJJtcVKAsDv6uzZmdAzgksw6qwL/ltZs4YpJWBrI5ZGe0MW54aWnzYShQ42o3OSfX15+vPw9wkj0LTOdCrZj3194GMhU5juztdXv/QP9wMY1ESL7dlz5OptmdIo65mgHbH+4eDodMWKa0Y7hVx3TBOPNbXbulGpZp5bhQNpLdXM867mpsJl6lBUA+5aiA3YQ0NdfnaWEA0q6/4NJCw+EXbZ23WficcKMAd73tNQIXpIeRAe6g2RsrjC69heBCWCfUjOXccSYUM33JUBqa9Om2Gj8l7Lwx5Rr7oJ3IAGdyx4w+Z0P2A1EVwtjQgWyI/Y9szi2qQdalYnPgOa5rSU21BVMICUJVdQvbucjho3JCNh1OOIJxHAVZNW0DttK4rQNtylrypjvXwnVtBfQV1bZA3roZuygl2Th8oJEKMWvJAC0mbfOJVob2o9DmhHcbqowu3vc2hb4misvm66Z5Lbi6nTirRc5V1jL6uEoZXPQF5iIls6ZobDALAee9Aevq/DKtJFft2mi6QzXSZSXBwWOhM7jqpE/e1PLtGyneTmhBD4loRQI4wmOM8y7Z3gIMugeBQ7i5rp2f+WetUXh0b1ZyhMwaI0anHQtEdy1zlnGZofEceCIeWOEchNCUW2hDikNukjkjqjDIMdpQfwhqAWqXvVVyv7WGH7pqu5CPY7lALBD+O97Yu4JhMnhESNnvfH7ULTPygt4fX/ZvxhfaefDUXEMILzF8rNA2OhW/5Va94HNjNimAsxCP3oepvX0Nv00cGhKYopj7S2LODM9Rz4DqzEhbTmPkQKNu7myubW1QSHKNMgZsiqDKuEJ9LIVXoTJZ56gsT7i+s90TbOPbCLbRE2z0eMGGW2vD118iGBH+vL2zsRV+n1bA8T+w3Ou1neEXWY4In0KsFYmxFxeiL/EQwIDqmaKT5VlnrO8sRT0ckkcd2k40FmgTtOYYrXx/OB4th+MFlzVitF8iHWGJxA348GyRuYeOweLVyctu2TjxxE942qrPS9wClzLbp6RRACYOlIXbDPFNCVAbdGbCdkRXIs82SvefY/2lILuvIBsDsQglU+30TzNQmOcJiMtlQqhufOWfgZTsaLiJYRkyjgZmwjXHmBK4QjwUtXxczTPuhXO/wrE+v9+5xg/WOoT9riKzdIi4tYrvoy0vhBVI269i1r6RZyHjLh+OlyuZbrMMsdjzu1aumOliBe0jRYgrgYDoV8vZZMiTj79SLjqNM59E5C6c7OU5VY+NlSnhkyRT7RyCqp8jfVl+s6QP8LMIIOdr+YCoWCSUWNzOicNh5jSV3djvQXo43HzJt88nAt0VDoav2ngw6RCMeBF08kO7N8chOgeibSO2HwwVkxWh4l96WXMUnKPlpD9D3u9ye79NjvfeTdhhEUjs06bw4HPx1BsL7KUTsm72dpc/PWsf+r6T+iNc6uBrutTB13epgM4GiYUUs7mzDyeyw/7cZ+BSK8VoNfLiUv97l+qK1ncdOg+EpEvNV3gAYjv+ru9+/3l3V/VaBEaxjEZVrToMxtVOcHTUG31C9McdOH836sgPQrmtFZ4W6F7Vhpv8c8CTrRUXpBcLC1BeN0zqcLv4Av3nB/3OyITK98csB3qUosfA+PSirEbF+QMix+raR73gJRC8hBmotHFUSCAw0AL9h57IteQKsW9whC7upThDnOgSKyoUl2V0n0b3CTyyCmhCVZMBiS8aoQxZi0/pkaAp+XvYk9zSFiP6Sm2gvYSPiFp6ABwkUuOBI81h0SqxbzL/kfI8B5XXZQsdiafd+g4AVAb8FWf7Hd8i41d02c1tD6QMI0KKKZG0698yW5yjXFm/6zZ4DJSQC9y6R7jtrU4L9ikJyyEQhFCEjebyNS2FEmVdpv5yKkWG8Rk3bPMoXPL0eu4A0SYG0OadGC2ZozKcqRF6FoMZpJnu1OHfWrFHSl5Zor1K1pvZG01j2DQ2m8ZW09huGq9C47phiQlZIOKI4/X13wDqExHSHgAA</properties>
</file>

<file path=customXml/item4.xml>��
</file>

<file path=customXml/item5.xml><?xml version="1.0" encoding="utf-8"?>
<properties xmlns="http://schemas.myeducator.com/properties/myeducator/atlas_meta">H4sIAAAAAAAAAz3JSwrDIBRG4b384wpJ6qPXrZQiRq8QYhF80EHI3hso9Iw+OAd8z7651usIfVSGPfApdV9L2d0WYWG0pvuDlPCJvZA8B0FpUoIozcaENS684IZ3iSOzy1vrsE9MV0aqa/yk/5J4necXGXyOAngAAAA=</properties>
</file>

<file path=customXml/item6.xml><?xml version="1.0" encoding="utf-8"?>
<properties xmlns="http://schemas.myeducator.com/symphony/msoffice/properties/officeprops">2F7KvRxdST5vmT7fDfxH4z5ewB9H2L-GmyUCmR9KxE7fWfP81F-eSB-aAuPWAz9.Iz9vSRxv0fbhAdNz4LPvUd-CZB-1Zz9eU6UTxF-Z4EsvPB9vbR9v3RbaAV~2</properties>
</file>

<file path=customXml/item7.xml><?xml version="1.0" encoding="utf-8"?>
<properties xmlns="http://schemas.myeducator.com/symphony/msoffice/properties/submission">iMFptsoqRH7tLHF2x2oezf76.gAeC5JwLUbELsApoZF2B2rndMJ6RgJQuDrBufb8usJtVfAtRsota2c_uYit.Ycqkqa6CZbeU2uzufA8VfAtRsota2c_uqSfz5rtbqJE0gJd0fA6bKbHoMJ0zZItrgAtcsAt-scQuUmpuKJtBHm2x2rqCgJpBHYpwyQ</properties>
</file>

<file path=customXml/item8.xml><?xml version="1.0" encoding="utf-8"?>
<properties xmlns="http://schemas.myeducator.com/properties/myeducator/atlas_debug_log">H4sIAAAAAAAAA92az27bOBDGX4XQOTFEifoX1AVSJ+1lD8UCe9oUBi2NDSI0qUpUs23RF9jrPsC+4j7CUokdOzGTSA0tUPWNsvzNz/SQnvnE7x6XK+/sz++e8s5wkmYxwSROEz858YR35v337z9/TwBOqeK09k48rq9RfkO/toO1HtwAz+UakJLoytveOCkrWUxqRRccJrQomJgskiLHQbwMJ4EfxKd+dorjK8/7cdInMhNLuYlbwJIJJlYob2ol1wg4rEEodN7efrkZLGWF3mw13hqCYdwpWNWI21hMoM8N1IpJgdayAJNi4LhimkTxvmIuhYK/1KFgU0OF9CxC1crKpkL5yOTCECchCbvIzeS6rKCuW7EbWV0vpLxGi68K6tskakouaXGoTqJOsBfbZG1jsJWAYqOIOBPXPy37O6iKwZcewlnqdxH+41bjwVwoeaCWRgHurobqJs/1DC8b/lgpCNJkf9WvKlroPK/bb9Su40PJ9g6Nd/oWvlDeUAVnSO82lWozvuEwvfJ8/UoIufJQpS/UU4wPopIwy14btZACngw6395X6PCbS/U1K0so5quGFVTkMPX7ck1aIdP654B0mlHOvgFihcY5Pz/XKKVkQtXzUmoFvR9Po+0VLms19e9+Fyg0pKoaQKWeRkb5PK+gYGq6pLyGdnJVU2tJKR5v2laB35mAA5eB3xmAscvAs7EBX4wMeDa2RXdhXHQTp5FNy85t5MuxpcX7sQF/cAL4ybJhh2uoF3afn9/xTsPH5JsR0EqXee3bS8o0uGzE3rsliDaWqaogvt8bG1AFpTTXVY85f9vHvLynvBt/fJIrwik5Su0X3dd+QXgQNY5J/9noUPtFhtovCLvXfi9wvbb2s/+/qYGxJeBhSimLwMOUUhaBTaWU/eraHrCxHXB5hgdqBywCjy2Hje2AyzlsbAdcnuHZ2HJ4NrYcno0th40dosszbOwPnQYeWw5fDGPLWAS+HBmw0TBwGtiUw/4RTBmLyKYsdhx5dHn8fmzAH1wA7u8jRUYfKXjeRwr6+kg/hf2UjxTtfKTgOR8peNlHSnB4HB8p3j1DJAdRsyyKjuEjxQYfCZPuPtILXO75SBaBjc8GXAY2/W+6DDyQLWMReJh2wCLwUKWUReShSimLyMOUUhaBhyml7AEPZH5ZBB7bTjGQ+WUReBjjwCKwE7tE/3YgNrYD+Pl2APdtBzR2bK0diHftAH6uHcAvtgMaLNx/kPrac7N3ijZPCx9FMUnJ/tmEV56edVsuSfwHJwd+UbnMT6OI+NnD9tbGkfwwJBTTaLm4P5IfkP2NqVNkW0fyd8EyS0viXpHY2gjsKX768T9YKMwBeTEAAA==</properties>
</file>

<file path=customXml/item9.xml><?xml version="1.0" encoding="utf-8"?>
<properties xmlns="http://schemas.myeducator.com/properties/myeducator/atlas_integrity">H4sIAAAAAAAAA61US2/bMAz+K4XOcWFLfsS5bcOAthnQHHorCkG26USLLaWSnHQr/N9HOYmTDkvbw3QQxNfHh0i+klI32pAZCelXyiIyIbbUG+ClVrVcIv82v1ko+vObu1sKlHYWzLlQZvObLxsRd4ujUFYnQcsM7TxmV7TSWqnVKL5jD+kPx57nKEaPEipeQtNYMnt8JRsD5QrKNXeyBTKLsmmexoxFOQ3zD9D6pwnZikZWwqECmb2SByO20Fx9f9mAsmA9ywBq/B41oJIO+XQ6IVJVciurTjT8wH0kC4oxLhhe99Tfi+G+Z549H963eKNfC88dqBI8JhrNBuC97fj2ECfBOeEBR2J+Lrk9EX3fo9lDdDmLfyfxNroDCr2Mkn4ehf0XlPgySkQ/D5O8AxN+DgZxhLI7ML5VkGh11TUwdEKIJ4tj/JL9Kxlf6fn/81ZsvOOj0gBz1Dsj4sGhb+i2FeaXN3k7ChgxDqPiO23WhdZrvpW6GfJCYS0aCxNihFrCMZsMLVoQilvAIa0sL8DtABHeaPlKeEjeStU5n1oUXeNfGYxfGnR/0Av/ZvFh7tRyEHkO4tfaAK+k3TQCM8gOEY/IDDWdsGtcGp1y6CnZ05bbld4pz+gPNk4vwa3A+DqMGQ8TnqVpzqZ5EogaRBBDVAZ5HSZBntdRlpVFRcEP4/hTx8oHh6IHp497f719sKguLrh31+KYi3XCdT48z/Fl3CeOr/3akwo1fP/sk86mIStYESQJJEGc5WEgRF359OOsLgWkFSPH0p3tSZROQ78nVyCMK0AMjXEWhhJemdCQplc+JHv90tgXhGqEdXy0GvcuzaaUxf1T79uh1G0LqsKOqBsxxP3U/wFmLUKlRgYAAA==</properties>
</file>

<file path=customXml/item10.xml><?xml version="1.0" encoding="utf-8"?>
<properties xmlns="http://schemas.myeducator.com/properties/myeducator/atlas_log_common">H4sIAAAAAAAAA+y8iY7rWpIt9iuJ4wfjPejmEeehulyGRIkUB3EWKbH7QeA8D+JMFgrwb/j3/CXeyswz1qnqcjfa7oZvXtxM7thz7Ii1Ijal8+dPRR1/+sM///mT/+kP8G+fwk9/+HSug6EIXyDwQ2L4C1+lfeoW6RoGn3771INmJEUTGIyREISjv30KPv2hGorit08J6BviUBiGrufRIQljHoTTMIm7QOT5QEIGQURHvuvBmB8RIUz4n/7y2y+m3g9p0f88GULSb5P9+VP51urb070aSi9sQf+PNT+7pv2zySc1HevedD1Q+Mtf3teIoDRBUj7uIxGF04Ef4r5L0x4RYkEQBihKIQHlwwERkIEHEx796zX+rp5fq0dt6yZs+zTsXi5N4PZ/pRYMQZGPlT6GsOvTuno+p0DyiadPaoUE6QNLRtDNb8O3AUBnCMbAJkFvEugU7CuN0vcKikJxGCUgBHqO6vbuczC3iOs27ZMy9Z/F0W3T5x6797MAG/WTOvWf5T9/ut/rNgjb+x24wf8EVWDoKPWHol8+/QF6FrumcMEz6BP6OVhVMLTu+6pBdViEZVj13ZdTDuc+bCu3uPt18FQHaB+37ttjuAiJx/mpkgr7c3ZBDNhPJUYovPL8VaZBwkG6JKZsHhe+gj6z1eni6jF/VIjZVN1dzhXaFTGgE+akopRN8jqPnpKexR2CtLZTiG6jxGVMumRdHpDlWldnjMpPNQERbeD63GkgKmQlb9yJywyde/1M1Vw5MsocFTtNhx9Bv8IiEn8meRjG7rKGl5c8XO/9fIuWOxqripKXFYGdrvrFvo5tEyHD1F6Yi+AfJi505+biMPvI3n2+HUtnOmV0PR2Mgwh7TB+Vxlm+lKfrSrLEmNak5eUQIR6fKi3SMu3fTOiL8X5nq43b+8m7Kps6fdM1gv/2qXWroC6B3336Q98O4W+fusptngcaD2+2FCOuh8GRj0G4SyMQBM/w0xKX5jm62xduh4Dyw/sYnacy4H6DE13pHZB3of9+xp+AfX/pFYavbx1B/dAUtfucxgRzP5s0bQg2NXw1hGbwirRLwq/+77Z+ko7flauq7t8Mqfvw1bAA42lffOK37832z395uqfbdWlcPe3tyyAfHg78JFi+6sGv2/DD/j7M/blBAiagACXJCItozAu9EAZIE3mui2MAO0LIdWkMxykCh0MfR1Dq78Ee8XdgD0Ohn2EvQHHChUPExX2PIikkCig4DAKMxikwow97Lu17bkCEHo1gGB7+47CHAd//B2GP+A72mMRtgR19gTwPQwGUUZDnIQjhEwEGuXhI41iIE7SPBG4UQLCHoggMHJmMQuJ3yPsd8n6HvN8h73fI+5uQR0Ak+q9AXnmsZ+bXkIeT0P+fIG/I6lcRMcahlRVRL4bM43jCszJP35t5cL9pazkj9906c4uWrq3In9KH4Y1apt8FQ0YiWxs046Hv3JLWMF01Vl16FJbmiIhrB43DfUaaq5odMzWicuUQ59C9Qkgs/kyEcX7HWpZ4HZndzjuik554sLsnDxNJerDuzhY87R7SnUJF1H7NjxQ/ELoBMgM1efQu9rl25EGk9UOtQmyQ67V3OPZiQ6jHpcMQ6EH4g2GYF6O/0tTfgzzi15AH/6OQ55O+C4Uw5f4OeSiJBBiBYX4QeZAfQDRAHBJoCMcojCZRDIVxjMbI4AlGCHCzvwd52N+BPAJG4Z8gDwZ4SrkkAiAKhigvIFGK8AOaCkHqSMMRSnkwWAiMuU/IhTz0H4c8AvsaP/1rkId9B3lm645h8XKcm7Dqwm/YR0UUEVKhD4OFhCEF/sc8ggw9FPIRjAbZLmDPyItQOsQAjNE/L/R37Psd+37Hvt+x73fs+wX2URDyr6a6plP/rVSXgP//hH03l2O6IdlRGdFTw9r3c6cziRGI8a5SsqDnTmv8WrmGHijOA5KF5pZUl04iSQHNhfJmk8XJpF85rsh2tG6Qe85Q4YM4inFuag9iZj5XZGc28m4MzUXBzvVVxSwm3n2e9w9dqNGDxk4ZJysMfhHKol8xokrtOH6Qr1NMPGy0mJKR7XVbF5FHbhFO7cNpCN9o6fNjmeAznSmaWSWrrPOv9zGqee/R5dVeqw97otUh/qI2F6H7e9iH/Rr70H8Q+xDED0GaAnm/Y98nKAr9AGSyBIIjuAuDjNcPfBRzaSogSBSnPC8A1IUDCYrgMOL+5NfHakzb+n3ynxwaxvAPhx66sN3Fb+sDiLWmReFu8c/Qy3+3U3BYU/cimy8w9Bn6pxcgILB/epkJ7H+87JqmCO3QE9N+i6PkZ5R4+e/iyTxLv70UaR6+cMDv6v/xwiRtXYZbGEc/Q8//Xgw3Ahr60uUYxN/qntoL2+79BGECiBAIRQjwG36zqaD2K7d87gvgBvHSgYPoPs9FN3/6kv1CvkfDWIAAJYUI7QfPdzC0h0Me4iMgAwbqwkkS8fzn9mmS/ElbRg9y6TB42QVBWr0iP2sMI768iilqH4BFnz7X8n099TTBFuzhr+ogCPR9M8N7Bw7c74f2DfGnus29us7vb9ZPEgSNUjT+6kah+4qFsP9KRxD+StMRTJK+FyDhc1Uf9gMsFazvn7+7X/oWenxxxCc2vk+bVkBflR9+zASWhHqo94rjIf6KkTT06rpR8JwTIyPfDYkAfWJ5XUVp/BU63w0edO8Gr0y77t3i3SZ92vrT0sv+O1ZIBdQkpB59iD+ywrtOAImjP7PCWwWBU09lfWWFqpuAUXzMMLpp4XppkT6BHnBE2qXPl1xPUAcM9o7uwfAu8Iu6e38KwmDwP5z2n//nE5y6Dmg++CgOFTjQ/KPQho8hBa4IMAtwQgg2FLlFF76Pf3+e1YfkSUggjmieTP1n0K0D7PMGCm/UcX8XfHH57t20vhaf+uu/E7z1+Q5lvu75iSDf6OqpgygMA88FpAamApP77477PuJ3aPtN8oWwu2/q/L4aAE8LcPPvj9EDivy+XKTVU2GfkjR4f8X47+HL5RU7akKJ5t2NOz3oOOiMxWmtYl7n8I7xuIcw4fKI9zy6R2ZD0IaApUL9Ik816bPzHXYWYkwed3iaLQKbVy23Mg4tFX2u9zd5UaHPFh+OF0qzZlEYDJ/aO4xeadpnLbye6CyNEdkRx1MvalWRDa+v6OXQaTrFcNhVJTPjZAd8tvCYb4kKM4b8hBqDm+L3TkVfV0dWuArp126BplcNMURxUVnudf8IpbYUEguq5ysdeNTnhkmpRkm9M7m/Ra6aTS5mzUq/zxyT3pPrIRFAgFldpuBOffrZHOK2HponPr3T2wv6YoITBc3S72LZ7x0Lo55170DzfvCf/tj8yUzCl6+28JJWL32Sdi89ELyU7gIEfjEE4UsJzDYF2P4CDvu1d7u8+/xHr33Z/ulf2n+pvj3JNej5hz9um7fSW91QvD/3fyzSPzFP73tp6uZ1aF6mDybxwgjQ3AuAlT6thrSKn8s4zn5YfH55Lm8P3OvHPm9L80IfkMgLMLYgrEApAVUvLmDiJGw/2n3+4xZM+m16ECGDUONji2ATL6AYvnjLS1IDfH7O/Pz7kvZgUW+h5MsA1lS8LPXQvvhD29Xtx7Tdi/sS1CAwCF87YO1g4rYF8z3XW70ErRuDScIvg/T1WykIO4AhAVhb0CfflvbH7RcVPQvNn/7Xyuuaf/pBh82feP95PB9IB47BCwughreD+MNPTf8Ijriu4j891fbH7UfhDy9WGoIOwGNfIkC+bwvywba6t3X5beo9t/+UAhis/fSJy2/jf34O/yWwe0OLbzjfvQHpEyfroX97doe+/sCDP0B/efbq7qDuqbL7kwVBqH4f2uKLET+rO7AKENu9UdCHtE/fCPXf0rcGK0juT20NJaDcPFy+1rwP1X0kB40bp9VXCgOYCQTvxPARMHqAnPKvQB9WwEj98BvMf03eUeg9gk2rt8AApIUUAVMYCUNP6v8a294/hu2+DgnI4G35XznmnRtA8FEP1bs63wLArxt2u/4+vGViX8PBZwNwcB9kUxfDR6j7bPsG4+8j/eXrrv4qUfoxXAbr+KH8PO6PYPydwH+MrZ/2BJRd1E/y+F/Ytx8gfrf7bxUQhDLUM5J7UtQTuKrgryr/8i2f/StI6wDZPckIxn6RScIIRNM/ENo//5x9/vTe9aOYwQ1DfVdknFj6rqiKu9t3RRcL8++KeUPN3xUnJ9h9K+aUSMrfFUXMc78rWg1efVeMHWf9ViwxzPy++HZ5+D9/SJI+7Odvp8Z/fpLvj1j/Zi9/+aLK74wR+lvplgviZtQNn+kW8ukb37xbAAhVb1r8bmHtM6B6lweqtovXZ1jugvHHt4Dsi80gVxdNv/aohvIZz9ME9LxVKIG5vhnM18EwHfFXE93lzc/V33o+beZfi6G6pWySulp+jEL4y8rDcirQn4Ewv131hM8akq9k3Lvuaw/B8StCwwEnj55tRQFHt46NPTsW4aWpbzkwhwvdGHlhhXk+m2UhKgb+VmebsuFzeu8d9oWFzK1hN6NryRf3xLo6LPQOq4u2VVzMai+416CxTR4/2/JglnNiwWxjIoVo5PTJ5/pne92yLM4rrcfFLs4aCBxuq2CHNnsFZdW9NOLFsjADZjujLHSrpJaLjY+u7ehSlRxveY1ckRy92fx84SzMueqdwVqDbe4Hq2BVOWMry6Zr71CkYA/p2Woq6XJ8hmZraMOTy9FDaNFjcNUzD4GLK2otHsMTfJlAwWm/Kik13q77SSph3LF1+IawkIfyww2hewn9pksJ3Y8+qkc+aqWeXaw+UoweUD6YB3Zt7alXQeGa3OEc+FwkyRnJn2uAfcRavtRrl1nUCiHVrBrRqjqNtM8eJzyIswYzeZ/y6jFrWYWeLlIi2MzRwe7YEYn0Cz2IOfaEni+G8JVS+jp/5gZ/0yySG6o3QVlAoV3kfFanhpk8HE4vA1O43Uy54dMpBVuF/UouftyGrl0ubBVm2j+yjfngCcQ9JV0PVsM57IvTpbpBlaUpBBxf6qSgPTn1YCd+3f1qG2+M+Cnp+6b7w3brNs3ncnlmNm5ft59Bi+2XHtumBvzxQ5L214Crtk/H9cMXbUjXT+8XFWHXvV9U/OzJgHya8P6e4D3x6sHCw02Hh+fLjq4HYWPVf6t9S/xEDdPoLz3f88ivd4UZ0wvxEyafVw/f1aWkeNo1LjaoH3XfpCXaIsPPycwP2P/7deTv15G/X0f+q9eRPwRIv39a7fdPq/3+abV/1Gfes4iffOZLavErn6H+I3nmXdGIFxEYHhDEU9FPpPtrKf5LKfFLKfnMP3418FuuWvXvwcHz4vyXE/3QCkZ+3Yz4sRmC/boZ+WMzFH+7Z/wm+GPzJz2Mwjas/C/3Gd++9vBSV2+Sf/mkmvC/fHp53rMDowj7316St0ulannp27TpXiYwwksEDOQlcJfupair+H//uAf5T4VIwcxbzblv3LLfVb5cQZWKVMnJNU6S3gWn4SQI6U0kz4TWnuxpJYJ7Q4kSXkp3baKuaNyaKwet8WDQukMiSnbMXMj2tcxNh7ELrcfn2RfPJGU1pFDCYTtw7FwPWfy5Cp3J9Fj4WrISvTNvBT8FxUGbdjQzZTbKisM9YX13JRelMX3KkzLasB2h7lCFDcnr4qaVOccKPKaKokGkfC8sH0PFRzDuaoQwpMtiOmHoK+cUeow6rJkGtO8cMuISTL6IUqwazOOqSIdrfLkF9kXehRZDDKdbT2e3M7YeJNJJHz7BXA/6AcSVY4CjkQ1NF/hxP5W6NJwcfCrx6uzhqc04Y4il8LmzAhQtQ4yQPELj5TJS9JjOx97KR5zr7s3OpYQh8jqJnU9MwFrjSB1au4wt8WIO0rVvSs+/d8TpTpL3vOIVlbMOYYNndYOoAwDX1641fDNGfMLC9hjQ83Rvs3bJb+75FCB4SLBryPutv2J2O10NXJzKE2Npj93VFffunOjxzox9wW9eb1k3owkNLTGiKfGM+jJO25rCaJc7PqzE5CykozBCOyKktSAzKnXQ0SlXXBDTIL5NMEQfevIozXptrq4dTAeY2y2nyYQoafHm++MATIDhK0JLEPrCTZGKoieHF1WHC8Qb43II28xOslgFI+aQE3REmzh66QrdlS+r8HDoCgwG2QupPNzivMrR9TKRO80baapv6gghVYyXTQub50sYMOeaZwloeVSJEU7azYqisItm66GvmjtZGKScyYuyYmSzmGRW85lLRRhreMvp9fiqJHmUo7TQFDF7ZeLPETF6Wm46F3/E4Nu+a9kDbt33PWxjxygrnL4XqcNai6/99APPfWEy/FfXLL9ish8w6Tsm+3JN/o7O/08ZrQxfS///bfp6u/X6mb4+rsJ+SV/Ufzh90RTmRWiEuT/Q1w9S/JdS4pfSb/T108A/UMl/g38jUeIzjn8lnp8m/LE18huM4Z/hv9Ga+KvWCEZ+RqFft/6J1P4b8RuM0J8h6N/KbciP3DYlbv8yud1bfQ/spHjx665/qaMX321fwHhA9PbuR67H8Pkpo/+UXHfdCWJwmMnMFAqfkS0qfyWvd8EoHipje8c4GBY1bNNrulAdxzNUquiRhhww5SLeKUzhieRumTpyLSvK3nfNEjTdcB5TiTvLJGYG+8/jw6qAUTciE+wO2WIvSsblIGNF7YUlm3Y5R261k1ylW5Y41h/JnTyrNuSl9iO9X9muupzZ+Lp7LE2ktKu+VG51FRRh12g6ckSHTimw1Mo77hLEbT4fWMwRrkh5TXtoQs5gbEV5NbQQS3AR9/tJampuuT1ghb+ednFfycIrb13qnIFhrXfnaEWq9jF5DmNBuvm6Y6WWII4GUip11p9fM9GKIM7F8J7k5XB/2fXNJBFnUc6x9gyhFNkWIzdipYXQ4tJc9k72OiHN0eXZEplre2LrHUTxqjkfjoIqjPIUcSqgTRjb6RFDJfWpz6sbsoe0B3bGpfrO3skrNK57/3zqD+p932imydornyLrK29DBSac4vJ8Y6IjhAi30IpyzJowSYkUd90bUn7B2nC4YyvNjj7sidbh9fC4WlZ4V5zdTUYFI1+FpDjSF4RbE+csNrjK2cVB9uUmGXzVli685Tq8wj6cqQxM5YrkggaQGY0vHhyVbJPfqunIJKFM3YZOJAqNOQlSsjqt2h09lUPnB9GktC6KrX5jY4gr7/N5z7LEnRPRC56faKvzzH1Xyu6w846RiruEV6IwPWG0Gzl96rFStnSfL8T1cRLntKPm3jsISmXWIA66QzJ0KhhIWhsXmjNGbG/17t9HQD/gx39tAnp7z/IzAX28fPkVAdH4fzwB0TSJYyEc/khA30vxX0qJX0q/I6AfB/4B9s9pBeDnRQ3d53vGv/x60h967NoirMIXFphM/usOP/GQFIYvJ/fXTX8iIbN1/eXlPATu8G+lIfRnGkr95CUsQa6+gHUkbvDWMknj5Plpg3di6t8/yhp+fJT1PyURXVxfYg63MwdzTBM+BkNERKc2G/SCTR0b4/44wRIz7TlLiB2jl01IZjmdeB2Lmle0IRUsXkrDjhHR8djIDI8ylbSus+cmnvMQluSzz9m67FQFcuu5U3m6zVRBm/Hn4zIeonvqzuTo0nM0eGr8SqxWrt1cS7gdBvo65LnlI7FQa0iPHLXufHTCdjd2uvhQB6gVDyyyf32gO7mVXapRGEV2cS+W4EXhDMnl0Qvam7R24W0ztw6ikA7uq8WS7URm7rW8hUJVUSSFq3BvM4XHHCg2Ci7Z60NeFHXtlkaShOJyREACNY0K2l6OGr/PXrMyhTAxj9HTqeQu64AfgkLtEjaA9w9JuZWYubuZjzCBdW2ZbGxM0IxHiekelPcHs5JsE9k+7LN16N/IFFCpbZUqLxmHhhhf99a1X1uk7E79nnIkncdwfe8bY0bN8Uwe91pXSrrdO5Ts7A4NA/IE+XKtdIrnBJkkqzm+18hJUx05gC3X32GTFRC1YF/dS0FJx7N9AMEEn78+mnMF3R6rj/oZw2tORyLEsa2ktB6B61yLqL9f/BKbkrVqrcuAamRh3CJjtVt3NzCW7l4QC5NKhkIzkfYAu5B7XkSESqdNzilFDKkNw7qxvE/yzn1UPC5DCwHiWjyaJJv3r/pqFpYixc5ahevMdyEOVxjemPNKlQ0Wqe2xvnOvrxgmv8L5LqTy4qhZyekIE36B53f/ricc5D5kmSvifDLM+oJ6gjFgjlvCjKX2+V3vmimW3da9Nv3k7nJPc8oHc2FcVL6v/CT5s1l+NnLTd8WrdDz02c243VD2kInEVTusR9GL59ODPCKkRhxdg/oH2O1v3xP+gEv/tcnt7VMDP5Pbx0cJfvV9IOg/8kL9Q7tAU6hPwsiP5Pa9FP+llPil9Dty+3HgH+jEWIrRBRnGwQWK778x0I+z/khWg5+6L+e6auvl1x1+YjemddP4xejDsAh/3eEnjhPcDtDVfmh7cIj/RpLD/iGSK+rpb3Lcf/7Ei53w3f4WIaotGhpJE/yOrSO6gwTebivxIQidIUQLrmB+miXXg9bQ6MSfcpUXCMWRk6vXEwOz8IQ28UPOdvKNlzmeOMZNdzdmm/is848ha9KGoy9wPVO5NvSXUPsstDfsdWFXZ9+R8Sku+A7LggdRg1De9o0jgp48lrjIzXTSEe3y+sDvjJm2IgevsXkKrycs3L9KuE07yiCheRMJeLWqjqbj+0sy29A9pw8yirbzDeEetYCrSX9H+9JdKQrS7uL94YxCsns8svMZylvd9y93AnncQfb1KJ3oQam0DKXVGnD65X4/nI8Qx6A8GQYeEuwe026obwWcDYakmLqLmiV/q5ZqvtA5THIrouwOfKlZxOtK2/eTjGc2PawsiZwLmFVEYvRqlgsglBxW2dwdpmwxSd6OVw4jX+cku4i7XLtoUzYvA9zWIinfOPj24MSC3x9g20OvB7zGT0l53R/CwmZVo/ROKDLou0kpj1dYg6jj7jWC+LEzrm55WmCIPPOpK4lLN+0saOHN29SnybF+TISojtWiF07sskkcjfCZK2tUrK8D77VES1wRezcJcw4dyEOc3MwzVu1StUKPFMukmlgsvaE/TNpmCSpM9w27C20QlZwy8ezX2mM+WTGg4qMRH+bprhZYTO9pQJKdlxrIa2ebO+phPtbkFNxHI6Pde0OUBIUqhNU4oqbTRK7pxiFKojyflGDK4CA1wSEG9Kk7vUINZrlJcry6iOUld9uPFb2eD0RP3W6p1EzV1c1A7DSL2Oc8kpqHofqrXh2ipkfutMfHVR9F6JULV7cTJiJE3JWjy9u/j9q+h6P/2tT29gm4n6nt42Nxv6Q2+j+e2iLcD8kI8X+ktu+l+C+lxC+l31HbjwP/KlNy3zKlX0/5D2RtP67mH+LOH5f6Q5f90gKO4uoyXP+txIb/G7K3pO6/J7aobl8Oof+fl9myYecr3ULVtnQacU4LK1dq9uNVc5m5GGalftTHiS9wazeVXHhTJSnuBiiFob7WT8KqL/0rhKUtaYK0IrhiK4Ka/QM7XeW1lbWjQ3/W2R0eqqfD9e5ZJzbpeMtwB+3zyZ9utRvqjthAJZKRR90aluqVmtzLvk+llbVfG+ZxJ+vsbhdsWGt42jHyhaEHzcYVkK5c1p6sykIZa3IfOzWFoOfzRXpdmVd6kPwm9is9dL1dp0a+JGGinWb9q4oTR7hzWI+LHuOZfsW79lW5HV+tDuG8yXFFa+2JR4Ubp4QM+X1dULQldfFufyxvNTvWAA9xWHzdSRS7egIvuEomm/JI5Df0mmLLK8g3FicfYL0nDxh60KiT72RLrwBOSU8IeUKCU23vSSNq7/Kyn45nA2Ccbg7opa5RKcbmvbW+dgJF+MLRdkSmkdtVOFaXC0oIOSpoa7qb5nPI5h6kcCn0al5keCweLW/vz0wDKL7R/DV4FOd+CvBHslDQsbGnyoDbJj9JyNWWBqu9+fvw0p2d0yOWiBO1qup08GBazeSrxR92/FzsTsdQvSk2XZPKFY72tU5mYRAHu7QCJGIQhVQqoXA/Dnp66eaLrU05e6b48upeNbK7GSerxQ2EStW5umeFo3A3/5yo3AGWQD5zV078ag1hVM1izDRQHi2rd4A6WToiRTbvkdzb82N/RS69nOd3in3o6hHkav5NozAnMaTuUuMhQ7ZudnFGHxnty72ob9HApebu8xkSjc7f9yZjXsvFCYq2n87mPhsZz8CYFffEgbCXQtwn/L+PxL5Hnv/aJPb2ue2fSezjw9y/IjH4P5zE6JByyQiHcOp7EvtRiv9SSvxS+pXEfh74B8JQ2/r5bbgXH+z4ufjnt8h/PfOPd5bgKfkbTX9isQNQzsuHpf2y/U8UZrnF8PFd9u/YK0jHP719y8V+vtRKu5c2BObSgdow+I69PnZjuEDrgMf857+H9H/9H/9n9/LHsPzT/OrOaffHLXh8Y6V/qd6/N5OW8UvX+v/bv7wd5B/S0o3DbVPF/+S5XUhgv6XWXtEnSOTiegd+ZOOSHC8xeApz8Ov4YHa3p3zuHqkM/sa74/MaRseuAxKMCJXr0eOEUCdq590SXiryFVUqjWzj/hgyzW3YEFSyDKeUzQ/nXG5Z6myHTnbhPGQvOczjCB8aLpMDVjAmkXePDEP7Xr2X3CxdvCmgt7NlqSbZEA29QZuyIR/NYkuNG4Wb8XRBttemJx+kO1QE7LCyciUx7BZ1qxlFlXDrkIBu1C2iblGVFtZxd45wVTgcRupKN+d9cmbDclDSqE/Arvjdbs+cF3Paizp9MimKJMyyIA9OoWpReTPKYxELj5NzcV168Glye1TyHTpnaANdLmeLy+n9Rt8/dP2heSdbdyu1pGaS9pvTdrMJfftGCI/3SYASr5pAqyMNda6cXnWrrowZOvC8ttsxRwDY0a7gc37mV9JXxT3EvPfba0bM6HN2BKdzfGsrGfbOkELoRsT2c9ydlux2wonbLx/PO74Xbnu+J/Xssb+9D3Pc7XL/dvryvEuhIj6maM8pNRtrH2ODeWL//8N5ErufCmoT2lfErwQj8vb7mc6Jzdgy05gtzhkgWuXYV2fyBaZvXaj3DkOt7MxSt5nU2FFcjAyNLW6vD3pV/QKzGnji5SO6Y2x7rtTx+S9teDY8yGxP2TmwG4pjkeBqWz1sAUzc8/KmLh0Z2+9SyZg23NSLlgQTlLKxbSOvwt3xgnYif1zqq5H6m204gmEdwp/POSLQfHeVSIneRlDXqJh6ylae7Bc8X2GC5rKLWUYkrVQmdrplUMfVxi7dX2LhHGzOt6MYxxfGvpxQErtdHTx08uCUYMhcgvglQ1oqOTVzsRyzQ8+AMxiMY2SaB2QvPk4ELshqN2w2mwVfj651rPaik1YHKTQr36M2kUptlKwmOSbdeOfES6JtteBGGugijZI0FoSLB0LeLLVOg8NIDyh6sMYJjka+LpdFTuEoaC/RyOmTKi1Un8kGbvHspjckMeI9q6ZpCZH2mmbH0y4d9YzWGbTSxL3YKBe81achT1y9yJVjYNOjRNBNGexwKBJZJC6hIzRc9UxYiIvAIo/rSiwSnO+73cPpkaEfRo08SgK7wcXrycQigfRvD8oUDYm82gzJG1grosx4Lp10LTEWshiej3d8ghzTix4I7K6EUoyhmTMp0BKbsqbCYpan8G3cgkguOxu9yDIgaO5PIi2kAib4gh27uYFzOHPSvRNn10ZmtC3KIpqxRVNM9jAdpdxHtl4uTHrQNjtwcrvCGoM5YmtoOT8o/ZqOIrsKlr5KMhbPO9eIOnTHXWWoTqFuGwKCH03EvywVEwNLtvwN9tgq2zENr1EWw/s1vLoB8Iog0Dbx1rkctWITlqlpOP4mii7cIywdTyfMovRuWzLEUAh4kA5ODJ1WtNl4tP9ojsPwwAdJhZ1F8S/nfuStI9XGy57d5TGUVohYIi5zY530ZDiDmuo0Iwr98QB7UOIr27kO4DoHi1MOm7ymp9nbYDBiyEQeXw4eYxwML6QSIvPRXWUdhzSpo/TcrYQeRN11LHFkp7icT+cLITa0tkg4X0BIb85q8xgq2gitqxnZJ7gpoCOb5Ls6g/jRDwN7c9FYRJeqwRyWlQDRfk/mlGCitYQet5Uu17S69Vj0tCFtbC+HCNa7hj4q0dxQG17WomPvRZQT9RbUL320HYYtyrgdvj8j4mW7kW6BJ4nu+UacA3Nz09z9ca9LDVtdWAvJ7bjNE8mlHiHiOHSxmcYR5KqJtIXhYshIYpAu5LxREjYNHVaCxwxp8FUaOxRZppk+ugsmcJljIPKGG4uASE24NExj6q5bqVg34za2I5VFm7b1AhvWSjQ+HpUCa5lc2CVv4BrXjLgzxH7K9fgD+3daBnzqdKNg4QLA9K2dftnv9w1rYIY27d7bKbyuiWbWubf8DXNBu5ivd/wDZXT7C7/sd+pO5IPDahc77R2bk712vDA5SAUA+xw/2iWnmyjwh8k9uEQhtnQkbUZ4M7KNfvyK3zumBBDmH+JO8FhoGz6063JrFG1KvtQfuZTbyWqwXoF3TG9cocXHfb+rE8i76fkP7YCtH9hgSbQPPpa1Mj5mVz2Pua/cad94XpZkn7GuX/aocRCT3R4QefbbmfZsa0DEHKj1nXuY2J0097ipUmF0yBDtsj6lw/GcIfQ2OJWUOpLKmo8qCln6QFnEVa9GnxxueA/jC0vn/Psc7ATmyKB8CVT9gU66lW2222rF6WqmricERATbKJxR40oDzC6FXOqgBAtPt8V4QGWmbvDK7m6oZzoa986ZQiDIDG+ctstiRM7StaLkACjku1TqTx09OkjfEhs1r9MtuSEHfAA8h8h60BSujm2jYn7YqL0xG2Lj6WGQmM7hQ7f+rkYAIY9G8bj5p/1yTl3EF2e5ueLadqseDh4nZ/wc9eeBRVwDuCWp9MpAD3tmxjetMw9YZXzRXfrUnZ2foLqCK7NHuxyk/oNFDYtpsLN/LaN5/mJX8lR27QMvqdLHucRqLOJ4OszEWQ/0cwAPBJN072etxG58cY72w02vodnVQ1mZOG3rvbQc2EExjI1iuR/nwINzmL87h9PzHFJIPzeVgwS4S0+VFUkBfa6ExYrb6ppIvQIp9Dx7ULVF0WuIY0JYHPVRDt3KW3B/XK8VRy6C+GakO2bfJkKtixrbgAQ2uOIbgFxcMGXTI9/gWjkLu+nDRtkEAroVaGbdLWJwm8NN4eDHMbzsPnwScN+FafVrre9Y4fTVPtkz8PGyXAR+/BI/1Yy7Tw2e5nbLIER02OIRvNkirm4flY+YSot5hov5d/+SrZKIqisv4crlyp5vrnH8EntpDBPtgpOPibDAvPUD+6oTYdeIatpku69+r+zYo9JMlvi1r6Az/sw2XDhDx+JiJF9sk9fKnbInGL4n0FbqmnnZSH22+HxhwcG13soDFxzTA71Ftl9CqTQV6HaJvBn1lEi76peP8+J9Xt9bjX3rvT1bI9C4U+2IXKmRX1DkkBFKXFNrlOeSuVF6ctMkqEuhBB7YE4kzZ4jV3veD51r8yDPyVixnJ/MRuZVgOrrq7q18BGiAdqQN9+bi6NL8FsukOMnifbk6RLu28XSN7XGhObSCWerCfJznyeA1yzXYBz3MS7M1ihTKLNixqQ7CdGFPQ1eXIRrK5PB8KGBkkZUoYKW8MOkNoq04c1ne9Xg7Yse6HiCXCHkAkwtVxoeDGdCkea7Vxh+YMUxT1WTnywW4y/QOnvJe3j0G4C4VBZIDPPX0i/Vw4R4gFIUUA4wxC+pubmTrQNJ6e+8jHfi9KIr90diW+OBtPLlM3Zt6iEmuyuCr6oU2tZUMxJVP2VbibRgbIJxEFWJQSEMAmZl9evLLjj+x/B4cimL1RKOYOb6cN9gszqrUkdwMoSPVGSRRqRm2WYF1t2NzNlA5JNJ9MVyRh+y5EuReL8f4/WwuKUgJXY0ts3mrZhA9RhfHSioN+A9yqVlV+ZoniCZz1K7uBUaLA+LBfWqyH2O87Y2te6juzkXbHL7YMfG0Y6Uz5j32wYW1sJWp7TgRJUVfT94UVuSlYfTDI6lakoLpDWOT6gJF0d69ANDQsnMC7ecw1IX+upN0H6ma3i74XoLD2NDbLhytwOUDcSBiqtnVhxuIBWpkqq/qV/5DiuSd/9DNBGyP1m4x9KhQ/zC6Cb5liSk4KgnZ9s0tf3PXfGh71KSJZh8JaYHbM8gOrvUcntwZ3igoZ26keV70DGTgrXGVHa/x2DTH1XWryrRei/jMPubwgBMSjHCSza4b8LB542zPgJohzySuX5ZR9P3t0KTbrom6Cs59n26McOsN/VWUlIhe+0OJBK5SnMDckosHtNhwKGa3C6UT17RD4MawBG6wc64bWBxFnDa8paN3Sbwr2bshvQ5pVkKegpv7DkPovCACCsSy0a3hZ0QN4EZM08q08KRgKd3VpayuBmQvB8uRWzfl2WC5aHfC7Qph6wPge1EsIAi6WK5/qsfh0iLL1jVv52tAOcuFrj1uHvG+cQHe0JApBwnFz8JA9gVmR/MmIT70ZbEskp+0TifCa46jGCxuQVx8pjrFMgCJEnLjRRvNALl4NczcQcD70V9d29i2fKJitrdu9GeMZONA9WfT1Y4pCC97D6ErFF3XNYyL7gGoV+cqrNcRxMwrpNuEqj/muqlGVmdQxLgSm6oNWbpuAplC+uN5lFJs2dz6eVQ9XKFO7Fb1BpZiG8OJy/gWRtuk9buzil6prYmV0R7h6qpQAwAGlLOne8xWkS6zkRkuCzgwbVOlOt0C6VJaNau/ygBgOw8GiROveo6Db2T99MZ/EFqXqIS1i8oO5YR1Y1ZWINY4PBC2iWUEPiTyGcI8cxFwyaaJ0Co9IuemLnWNAQ+UJU1bg+JPzuI3kunjtL7opLnZjuTmWqGM41AmClORMKtpNERuVKn94Vo1GraAYAILhSw6snNwvaGbkyNUJdmFuY2vJGmMXuHtCU+MbKdwwnmj940gzQvxMHYdcgxNE6JVADGMZIvdEyROEVpI7U7eF1OkwickTSMvcdDH423BdZq3/mx0WDdAyWN3TDkyZYOs3yRNq533fIvWqr5BQerkgGMBXbBcl0E8dbBJC0CK2+4PCHIOmP2huZzF/DhJWBlganteIcE4GVbpNgj4K4WzTkDM8w5iOsO9L0TzGV0L2xkfxpHL2442u6OS2/QjgfkjAx5SR3IxI3p444np1uhSgrjLctwK4MmuJ+FDrfEy35PnybamfAuhoVI45UY4mu6STrACGURiwo+TFmuE7iBOPYBQZNsoVCSaLGXwJVwUTR3wPcqc2ouy5xOIWYd1BqHvujWCG2KX0lTqfSZIKxjBKznVjn1Glx5sFVSpOLDVpiPmc69ck2Pila5VyjCX7zF135sGBm/6YnvFt06JXAvfVFZquzqXfVVUQMNWftrlGnHUQh7erZS527pLPkfHVOgdx3Wrj7jfCzyDdvtD1JQ5ztZx9yhZBBcMeBjs3stofyG2WOHafo+rOH679M6KEsQqX+g+NNC21fg9byMJCk+3LUgg6O/1MxCZibonKTq3HEddYJey7KDWGq9lEjWk0dse9YQE3SvJLoZykH9VWXi1cHPw+43TQkjrkI5jbtZzPsrSo+EXAjcLPLwe6ahv80eGWu4iWb1lJyunJHsojBjIF/EM2lz3HfUxhkfa34/BrIuQD5e6pAibIoWQBqG51xJBo6kDXdMIAkdi3/jL1SD1Ppyi07UNSXPsm67s+xwi4uoSE6oUI7a+LZRrgPvcuqB4OZpuv+2LQiXPi0FBw5DHZAzcY6FG6Tb39UZWVT1g+ECq2ii6zsg2V686Rt3gze35d9jMFbOoxhbGxHExN+drCz+kYya3KsdlYpUpfgml+AMFAcb6UGOsMZAV0fWG7N6xKzj7h3VLy2aGY9Ew4kgRbbZLcJPGCB2hVGEgwZsVjXNWTds6J2+j7KtNQc5+c77SopwEV3XTbinRy/iK3mKimfaCzXZOcyPkEllBpOMuzrZImdY4A88ZvNIxEUuST/DkHw5EtM07Ypthw0lojaqwJXvDsjDlP+MXPrDn3t8pvXcKw+sNn+KiUIge0mUhEVh/s8mwDruJeVcQHjy4ztZdD7lnOKVnm1zrSmLPL9UVBhjHo0u0ORuxTjm2VZDy2NTVQaI2j/ZBDPoY0Wf7GedUeyQALHLgko7bEJJ6Gt/sdN48ElL2rntcFoOBTmaxD+xjhdl6XKm4/YGtw4oxB0PzMy8sUaK4UQ+okKZ09seuV00IK8ZQ6sSkIhY20DwGN/k3+x2PBGLO2PwYU1iQpo4oeS+1pw/fPTnIre84DkCm2Ls3+jjcwlMyP0xBFtz9JByVAuiJFpJWqIbDIF8Kv+0cyDS0kBEa/jzlbsLvBHYYoc1tT1G2rEFPPOLe/I2RGuK8dHvT6eBNww8Dh/SrQxLQfifskdGYT81Zvq2ANASmluMMstmzfF4ZUuSrKQW8TFNuXfI0qx99aLMz+AB+/prrqiGTjtm2tWpVfHMV+g0C0o3H4kMAIXl5SlC9KKvzftdlAlUc95brkNU5am6782Yo3NIpJW+fPHHy5oOwbp9TUmCmyEObjsD8wmYjAHLsHCyBLkq0YEWsCQlvMT7Y9XmiQcCxn+SJqwkWpw4GCIc1J3q4FdcMDuLTbsDBbhkWJE55zHqe3dtZRnSZl3ekk3uo9SBww21uWFbON3mv3BBuB5vcLpvOKFrNiFPS7dm+Oj3ghzZ8GJUh2VLZo9DAp1CbOkhUYZteKr0+35t9eyRk4xyt+1GNOXcjXqCRWYlbOjSXWM6UtSIt3hfXMy0hB4MdnCyoBD0pl33r+11v5+350idThkIBq1etd1ausBdBhU5ey61WWZ0zibmwV9oLwAAzuvLkdZVjJKTEHOsZc+OlcarDqeJyptxCodN20AWVO04HCejEKXACDyPcVcTWQ2wbgS89tRRSEpIgEAg9z9EsnKMzIhAkB8nUDVpdOxeSbxD/jK9kqIFldHD3t4PHrot23R4X9Wze1g7fwMaTGFWD9hFF37VKauw2pwnmfYMOx8NYFFCzYPuH2SmVBZC5aFEbwyUqUtYcL4J6ICzX5jKobwO7Tl2t70sMxnlpZ8FYbAHePb2fJaUR7kHxwo45H229jR+Gs5DGpWUO2ECngtnHm2goN70aty04naTzuG0VQgifEb6u+Cjeuks/jqujoqvH77BFuMXUcS7bp03Fg+Rs8JqL9lc3LpYJOUO6i0IA+IShNaSRccK9ey2w0HMPyV4OhZpbuu4ZUGrDgnAx218e1A0bodm3WKHauBPZCJtyiMZZ9lduO0YJ5/dpk5QgTG1p6OZo3sYMLxBE9igJ4dK5iSLKPNN0n53bE2k3gC2WfAVK8m3PNpAv2FqeRw91idSs18K0KRw96ejFMwLj3Mc4ZNpp5K4ORS1rVIHc2fZz9CaiXghPOwJOrwh6Kh6jvSlcWQRQBiIq6LSgXrqMDIhGzSMFv9vptUZabYG2kZJdLuKqLog+W80x2MqrD4JUkIZbu1BoYko5tHwUbec5UKMMHXUEhyHCMEa1De3eP1bZuKalGlLoWBM9fGMBnMzKaqrNUXqshn0OGc4xt8d5mfwtxHHn9bztHD5BL4O5mFLJGD1RqGZOLh193tS4pHY1oWbbM0iCrssIEJ3rK3IlNRgnLgqIlSs8Ww5hi5d1Hx9iryQkveZXDpq4pj6ZiIybTsbS2XntZg/n/BWqyqQA2VUzpzyrgoD+lNlGUfMFk2G06qFwUgVOAut0V1778WjP3VrD+dWgTtlN3avcQ5HsHDnhpVM7vLmBJSM42A/58HAgTpby8hI3WxnkzSDVt5giiaShcm6V/tCzwW/w+hhfE7sqEtNbqfV8VMomuhX8FsPqvUl7HIB8qpuOR+oSqmeIt1cdAxFGLB80dX/2ljJjJNIOSidFlzOeNWpwAjHl1nieWQTWY6PdNm8AyN3KnEctrbp9Nx/M31TuiMAuPAjeboHw8PjEpJvr57eT9dDZWhhyZ+k2h4t4Uu2mPdHreTkbh0dNoHmZXeKToj0EIlF49Zq6Lg2iuUD19w8lsa/MGTethO1H9Ym5QNEThA7p17gvnkhB49oL6uN5e1suqCNX/dQp8o3hSADTrUqUTv5mBxvAb+nJ0GqcqdX6dIuJEJ/jJdTC5DasQzCZKtIHVcHhQ5wSXX7R2vOWc9gtRLpMi0tBezztMtnTDzV/MkTZOKjk8WQ0DkvT25Nzm+KyOSqVy0jy2UpEoPW68i4QHiO8Lcf90e5puHNKB/AvDc2P1d4nJQrgdKMdTDSs/MMZg/PGkSVbk72s8ovGZPGLUEzYQo8e7GVD5ZlFb1j80kJj57jb83komodQ13QoPNpls3MSHueVBt2fty7sephjKgf3ID2wUiE2Y3Lj8o13lA2mLcb8bEe4CbWJrKiTLLdmtY1auwtsyMY7kLwzcWuBPLbm9rxaQ82+QsgdnG3g8ro3QMizWNPzHZ4aX7Yl3OWSBwIPAMlo/TA0gHcDAeew7toea+EgcmhPKDyOmrPpoT7m+XgTym4FEiof5Em00WTsjbiNogOB1ILRTzHgYCgl3vMNMlrK9bzmKL3x+psZ1MEyl+TWVYJFqulmsQm0z27LUVKHLVILFt1XLdmb3P7i7AWSPzDo3jkqWhdAwfo4OJu5PWN2DZ3rjlB4APwa0xECf8CiwyWZP97ZWjZEwxvRFCbJoEaUbnbA6x7KWhNDe908Ckd7UBrZ50l0Zeecevj4qSIJFz0s0zaIVlrZ0GNOTlcXgHXP+vLjkagwyOkNf6bocbs3fLjhJzlT55beH9CWrTHyWK8qsFdlO2+NiXVKrh8bVAxLCFns+UuOP8PQZnKEsCVDtFd3DXJwDutADiQStK7dY2XTjtJAR1vnfCQCu58r4SjnV01TUqkB0NXohwxgCki1r65jBwfWcvh6bzsg7XveE866h+ADPvBtTEf7yedu3LHLQfpARczIFEPkUIWH1VCo6lVvkCDxzxaceMYU1NXqWg273JKA5Hdpc0Fy96ufMKqhOb6IQuX1xtcgvr2qVW5TWyMXBXpmJ+fGbzaAlHrtvMVLBG/XCxaunSRRAiSn3GBVtAVouCpBfjC4ZHBFQZwu3zjO8w87D9/JtNCg51WRAt6OH7b4vFSUTEjZpKmAuRSto/moDUDuxa7vHbB9eczymKj840q3VjMmxRmT6/PQpjeyJIfZ47RDs6vp7WE6M3pzKYv0MOlluMvPe5mreB+ZHIS6IRQI9g+ZvjWWvUurD8qoMMSaMtcYMamv2FO2yt7+fGNEXq1K79at4Zm0/eYgYBO0HZInhjUnvfT2+8bd0KeuPRO9ZU3rGWYaXtXOARKsw87Z0G1H1bAMna9soAZUQw49QIL6HY/O41c9A5Cs96emPvadxB7FlU9zOoJCWBN1eFAA/U/UUUk9GPjblB0yJzvwezQlFRzxtItGLMq1KpYMwbhiEG9ydTzUKXHVuJXOrs0IwgWebc+bLL21D4+wibamjTldIa1UBnc67rRIb43DaUQSgO/teWCONKoe2xhpdSJ6cpfqiLZ+aZWV2qyVAwXuSuWeHpDUwTyAQDlODzhWlicVzRikIi5TeBbOJBa83adATTmXLkjM5vb/pu49e6bF1jWxv3Lkr7gPOUkeS+RQUMQiyVKLnEOR4deb5+3uvU/P7DO2ZVua+fI8FFUsFnCH6+IOK13ma5DlYkPZdqWA1lgvLQKLHV1IJZvQMzExFNkZoGy+qFfHSeRHaPxqGvdx/7hxKVmlkBM5/HFd0ZTtiaJs2jcmo3vPTB8Sda+nbMVOwHGstSS+Mqk6SZ9c84Q2CbqKZacRtD1iBPE1QM1DXFiG+MnlWVeceTgV29FVOFZOeDuI05XQqtXU7uCp0GV0S0BfdVlWoe+Q45oQL0jYbdMdYHGFBwOM53RLWuXL0u1zFg8+vPIe0RLV3dgZQiN6gVYYLziIYtSjgsKXu5BP7DkSvSSGm/jzBHnFKq3IByQej/XFHxne2Ombm0q1CDfHInbG/2EDIfS4e52DpcA+9QyiEaDbBiLVA1bB65vVOuMQJFUy5NOLteMxoOORKiOs6DSUZV8UexSmEufMnQK20elMQWo6HVpx/4GxNpTJK9Q8DyjbSeNBchG67XONXYZtpvdN0e+ixJVi33FiKHL0zh5tKYYdrQEOepAFuYPHZChAgYLlZLygLvTPHlzjLwRMJA2QWfwZemrfal03zWO9eZrUP73iw8AQfh9jFKma6cGZp4P1LZ8m8sf7K9+NCdC/ipnerwDU7a/W3in6TiR4TQI7V8oLzUhb81lPve73nHt4VsiintPE/mHRBGmYx3GzpLOgaVc6PfxSZUP6p07bfPno9FLdpqsXzM/LZvHw1VmFdn+2UCKaDCfGVuhhXkRPivocEG6XA3ODAW9qe2RifwHb3CY92LzXO+ingx6i3n3warCtsa+Ta+LnrpzLrf84cix0HzzTa9dSPBZ5qMQW7W1P3OpJGeZOeRDl1a7NRPjDJNGkSE4NcnlRSF9w/mofLoLk54OJZBf9hx3VEcbFLWnaMygvcP9rDxTsTYpBkQGgqsLLF6mNyBbrwY4w5QPuZ4naCurF3IJt7CAGrZz1A0Zi7ZwNUcj7I3Q42tOkDGmvw/5gWY930SQJPi7hQuXmIaXpZUZ1znZ2wqSbROETU1hujyURFLdiCJYpWCVSjK1zLt+5jU5/vflH1fCavh3MUwhalqMp4SyGuUHpFDAWaGhMTwyQu/O+HIpRgQkyJwnYhw06xNaE2EMrvFmjYEmIZDSxsNhM9n0Hqx8uuPUwVbNCYcp9eFiEZceFxIpSjAvSQOds4jGLbGNYGN2Prf7RdXikeJ99oAxfPYdzvPSnnwMGqYQF1ReaBTRPOunRVfKd3ObDV0NC8TP49ZPz94wPYam+cu/l+wP2upaDpsh5rHT89enduikJpdWPD+PA3hqWLnzIN5O+fvF/JmpYfmLF6cHVID+ekceh9ysvOuT90NLNLZZxUwUECMqAzrsqyVCaKnaHK82cDr4Kvrq25d62kJoe8rf56FJYbRCeBR1uBFpOvhakTjpvssKkJF4Dy0ux8uae6zR2ufQWn5wXqDjT2cmdfvth49AeEGds/8Jj7ySAoQzfVuRSjdkf1GxEbTQ2ZTSRYm68GY2FMkN84LwVf6y4zWKTwT++skZd2d2psyrfrxjUsre12oVt+j64MkOBoPvBgFwmZyCbAnCnBp8jUZqklRZMzhZ1ynO/dsw6oFMlM9/QB6Kvjs/15h8rUf3gqCCAonvot8fD2Tr4mKsVz4wjVoyfqHB+r64g89bIMKxFOR+b9TQfXuIGJVeEHIGHBM/lCLz7O8KHfld2IbBx3z/25cNu9dGxzk7kvJReyqT0bR27MEZxYfX5J66CCvfBVeJYIB0aNKRpND+Y0vs2/DV3c8Hh4ecCqc/513uamHiFsUKWhDFwf7v/rqD16QgY7qDe5GB+1ePYTlrYOP/V7ab8IDZcB77fh89COLa7hD0n/QKZ7zY7yk7uOF+QdOi57zmR/sp/pGXkpcH5r6AlONmjbnNjz6mDWSD0N+k9MFDhzuXZD8BgRkkK0h96Qni2mDdl2nVk6YBmzn62GtVN3gLRcQEYn1MIgEH+PNcH96bXxuFar60yGTqpzh2ZjCrUWVZt2fzkuRXVzRwtwxyZyJfnoAtSJ0iT7DfHY6eYsjQeeKMrevTjixRaI1KL0ZiH1toH9f6bXvRs9SjnI7fy3+SWcQ6dZZnUdJ2/yX6p+CyjvJrqCO+ek52at+rZpp4NuFUT+abA9/LzTsBu+r6zEG4EaLPXBb39xK3gD7Qh85rVJFLL+xieVDdO4aP2bH6nZKB580gyxBn3F0kPV2ZKORNKo/8w24+tpc7BnP3P+ZpPM5+YcNbE1JmbT8maxnuZ53eBmq+dtfwZx/h/oMNZAu8RAJrN+Tg0RvVmP+HWaA0/nQ8HeaYPL5sGh6IwISIzy2HyswvUGhTa2WxtQXvZmTcaltDwhX7u+ftOVlmnqRu7gIG0EpwHMUx5JwBUaWf8FVADKsiP7a8z8iGClzr/5F3sL2qaYBSARc3PRqrwdhp/0OiRM9G9fLuKfZ6xeiJcST4Yk4yH16pslCrO6mNPqLSOBqAgpNe9KmqsZsRpFw+QqF8PF0JP6v0DJPQHSNDEsMfwTVPquu8r6oDXqitfWn3YkVxABdi5X3FAqHMB2TiHVcWJhmp+gHkobHy0gy9epf7JsWwz0pDX1e41Au8JkNkLU6MItBHuy4nImcxO7xffB6hdLYpjR5g4JhOYZzX97B6/lritI4YFWU/YKxqmbhc8v42ciUgfjuI/cEOiA1ZEAjyjP5/t5XhxwOIv8sawx0/vbxAz5gReBAA5vwOcSYK0nAKLDgiWWu6DKnpCec9E8+AQW5zzqcFwIx20DKft+rH4E3yKi/HBzIY0JsqZzdV0Bg4AzJg4+XyGJcfmUtOyfnyhrU4DtCn8KzkU487tbtQeimdORD4Ib/LM2HgBkEwxbWztypwfgWN9RN545L0T/IYyYO1lvczioDTWl8d1bAx+zA/4j9/kg1EXdqmzFY2+55lOVGAnqIJNHm39sAf9rkq2eT+6LRpe7MgHIk9sgv+ZExjTQRwW0syFdsmz/Sd5cCx1lGf76Ej9iIjqWa7y6CeIRv2LfezR+Xz5Tx06hIVnLEvmIehvOqpwYmlx3Iilko6XFTSWkPKFHkDwY0F+5sT+NSdpMoPGeg3iTxr048lvCjl/4ueSEcfeH74c+Je+HHfRrhWRJVK7h6mVTpIoAE2TedB36v6Fk/lzOPECkn2Wnw8FMaD6eOYJR3+b569L9rn+vdPOaAesduqT/tiBElvnFVn/r21AZK9eDjm3PUkep+bvViTQUF74hyra759T/Lpf6LuGKOoRR+oaN4RVD58M2kTJZiJWaT2R7JlYJ/9+KZnZ/cUrnvGP0uAZUqYE5P08s9IijdLLhB7NoLBPjgdLfaHjE8R25qZO1U158AOD7K+jcl90uwWuVI/07llRFaDO3JmpZbCfKCNEGRPWQ+OCoQF8ppGsDkCEAUa/H2lroihFu+Ae48BzXhBFyCrDkU1Bxki/Whc/bBAIzMMPaFBPnv/D6jhCH2HxLTE9q5VIAl7lVYhLFnzg9gY1wfWdrh6+/+AAnh38mRt1gTjVQrtC+TD2fZE/aonuFjE1MSZkcWsIAjR/adQ6SrpXGIVSkupi7cNmRchO5FPGfsXwfuour3TIi2HTrxlP9nkkpFL/jg1agOQ9ADcG8HUhTMUf7z4m1yiIeDUcGjb4hdSBNIIfsC1cApaPzC/ZR1Ni8gn8DSYf/I1Lfrl595c2XYia9rFAX274XYjbJ9HsB+/iYMg8Ov5gVbGiMWC3J0r3fuJz+re5Kluv5QpL4RRuqfSwZRRJ/9Svxw/v08kwPypky/xf+vynzoeS8DhhfhxTQY9+9OfxwwSVstpfKqQ+Tlh99IdfBmg0WUwcYzT/I1Y0n5T4jGr/KCYiMf/EBErBh/lDHoc/c6AGZJhsKl7USmJ+hHlrEPL+E2O/0i/Ueaxev1YZzPpwlEuCl7n/Oz4ekkYNKXCnq7oVwZ7j5EX4G2aYXWecS+qb0EDOLt8/7Jn4t+tf3yr32En3Qa/BdgpKM2HYLXHSD/avNRuQpTqr4iPbZwBsoAqkZTR/42PSzfGWhatCXNRzQyVdwlfkwcnYUHWweN20mkl65V/RK1jGiyaV/FGJ27YdBU4l94aoH/tw+P2AyexKfMH3PW4QA/CCP8e0yVOgjMDVK83pHMyvH0OV9/bsG+YnH8q/nuuNxo+tg6edyl21Be6Lml9nbf7pTw/sr1zbvswCD/7cgCYUwzQ/HgGlgHqasom7bVqfX1d3NBG0y6Gl/5EPvrUuoZ6KgxeEdoPZFhhD95M8BtDEyv6Za/7AbeJlKxzuIFpvXXNqYvKfuZpba5TLpWWDQ/ST/UdO+/L6lecuku7w5a0/8i8v+81MqrmH1aj8mR+o/dQ4BauTjzT2R16gylDMxyKAZ6zyvzuWEb7eL/7I2ZgzbWKP74K8UrM8on/kxCKtzdjyiMlq5Mf5QMCOBLqidr0bX9p6O0pjcPmhPaTJHx8Flrp280Icn/vXMgepyQQA3//ku45XQA0NTIrzbTUBF7jekpvB9BnPWAuB2d+fkTgC+MnXjjztYRpUFUv1ELTrEhxaXqyPC5kN41h+THIM7M3pRVmGOzOZJJkE6d9tNKd5T8jv8ALGLtzlG9c7QAuYyAUCYP3IxcQMA0YZ4vg5P8Pb1ECE3pPXJPrZ+uZUPO+yEDAb1CiEir43avDESPjY2QSvA6PthchPmrE4iGlNjMC2HjlihYrg4VJrTp8SepU9pohS1um6DLxIW0xqiIfZ0AK+oshQYJLSOFfR9+onsB+mdIjeuwPwbR7jNaPFy8X2E5YB4ohKoECShMQiO0v8h4ojG+LZkwhnRUZfu/Jd0DfZeXlOqqva3YozDGxRCDbgHBTsi3qQDIfskMxeRDt9Zc7ixgElnSSAoCymJ0vEnU2Mt5E9wxg8na57oxt0rAxlER7rcPhrc1+uaPiBJSqpd4JhY4/9cQFkjFqfWpmCi61tLwNWw34/YiADDUZu3AN8o363Rb/HCbWFB20sSc9LXD5KxG+OXUIgpJUWpIo+v5ux0uBi+JxcCLV7EhmR5EvWDE7fOsRnFEWX/YGIkRTn7vNk4VHTJtApkMHO1C1QzfNWqTNTQArVgrkwUIiWLYgdZ3APmlNZ9wKlKP/IUouwHQrxd15VJX9DlcB2F1dyahDc5xly9TuA3TQlbXHLNijb9LYt4kHdIdZKRweKQi0oCZxxvq/MqKFpDvIkEVx+eGHn1QM16wwZ4pWFeWNUDMtcTlD4W4Idbcb4sXW7TXs3A58/hPpt7vuygGe02rTonED77lc36yE/QvjUjVWwsBP6nqVPf9a41yHWZy9s93XOgioZtjs5RmT0G/TBrg6XUs93yw+X+gYp/TwPbIOkpq3etTjpkgNMlily9JGyxQFe37YmXpe2Jl3TSglODoZK8aqQZ8BjZGkNaATldPZ4h53vT/q9Aj1Qpnvgh0m8veblZMxjz71NC21HtEQWPmkJAMEg/BBh5V6wAKt5JL8NjANyvQDvBmk77mO31mYz0augZ5+PIq9NLDDXygnlcBHa1CadHxESphFVndokoLWBKOR9Z/IHQx+c+QqCcGvBInntIKz4tdY4mZmddporMIU0dhaomXKNF+uCMkla13ua5iUh7/DVC/HDi2Ef5cBkICIYQkzAcDI/+rw+xJaJbnukCKmaizK7qE98P3bz0sFlqxNHG1YYehg/j4G3CUTo3oA4lLwDfB57CER7nzLF4eFLFXipnzSOa0IrNjbuppB6hEkkqUyA8t3qmxY33I9ttihAzI3IPdRkry+0WnFKhDJ6JWtzYv9Ry7N8EjIbI3sZmTbEhL5X/qgPkliAfdwxkEhDxPxV+8M5rFK3LXD6Uvn5sza0tayX7RJCEP9VD+TY6o9vWLxqFP+sSZgEgWs/QCUi5Z81pW3rWC/HJcUwZv/0Ay+bZSbRHO1s/KvGQRVa7v/G+V7/8B/+iv7Bbx7cyLD/OL8Vcwv78KAqFat4j4PZwwpKbwcVoceD+Gvsig0zRtWziyZ4WAX/3Kd0JVMP/h1Af9Vj/KolaaBxT0s6TP+sbbJU5a2pWQ29y+OP2hTbyRmH+9djPeSh+glwXiwGFtORyRWBbIQCx1ea3MFP7UuGP8Z+f9w9ss7RKwXR4ziAuwmRdyLD9O7HE+mKjw058Wywoe6N0PldJAi9JF+8hmgg0Dp6cCeInr2i0TSSSnHP1Hc47j/YLRZggdLkWwW93quSN0wG5IEJ4sq2CNIl9+AcnD08JuqeklyNJCAFMmNyeZKfuK/D0yS9Xb4k7GABJlF0LDPUArmpt5t2AfeX2GbyLTU26W8h5BDiTLaNLU+4tmBJaYIkThfdmWBwmu0NDu31bOmeQWAZQOfrbNw6OBfVQRVRrV5aNa71TVKONDlmvTyA520DplGA+P2gDBq89O2oDbPbQdzngqQbAfBGL8eZK3XaCdLRvoNM7eqFdiHoPIS+BU3ugILMbJdg+IziJB6DopF0AIIEDFwgCMI7OC1KU11GHjayq0wAGESqyj0sIkcvwy23Hy4xXpUDdDxAhgRfYu9fuTOZSBLuw6+RzUA/wSlSQzSdGrbEJT19wGSfCrUFz3IVbxGpRfCliawdKjtArGOF4yh4ub16jH1bot+OwlqLSAnykA7Wf2R9xj4gpffg4DfawWH8ENbqY1++22yEzanT6nkax4OkGiFuwXzY+JvEQt7JtI92o8O+N6GtELv5ftOAPjaKLas90gV/vJvEDmZYevwFk8D5Vb8e9dY/ZAEhPoI7K6es79Oq4Tboo/ymwcGtyfTrgmeeF7v7hZqK7fg72+Egl53G2Xfqk1CvNjGyQVu/vrmbpoMjr73r0KsDPbdSdpERhfwrPdAZ8dZwgqisWx3dXfgH7vS+rZitaivT/qs06Dxp8M2jJqxUkO+4q42vjnyKw2bJ5wD1pDF+LRHzIefraELcgR+AH8jU7TQUxGtgyJgXrNRE7esO8OqK9yE+Dz+h+FdUx6/YOVA5fl8M5MWnWBAOja297PI4TVGiT0uCMSDNM8WvI9RoFOfOy8rFSdjsEfYYuDr9eRmhHqDpLAppvpsU2XZ3U00/+QVpyP62njlZXfoRsQc1wmKrRxpiZ1/1AfmVbXLx18dP7+EhBhBdFhB8sX1Whusz2asGOIi4CtIwiYjcyyj2IemyhMZWj4f3xtYKjR+4Mgf17Gjb9DFThNJsxS+T108uQmFMoVItNoKzVKW17ssWp+vc++zjxUQNuoBJJOhOfLJ3B2W34GSdCSoDWRT7vs5+3ioj+/hLJ0kfWIxCyAO4bltZtW32k+lFFamItCh2sZymZLpw5k0k9XMtR+f2YGSqDhvC11rNDKDkPHo3KMif2Pc7I30ycZRMK8gCiFf+fFQPGzANa3DtMDw+Vx0oUYef96tjK6BfpWixc16D/XUW2uR6hJOFWk9sSuVXxvyr1gkp+wXUltHUCBpRJqUuOLXmOxLLm+JiLZA81TMNotgmHyGWNhl+F9nA1ye17k3QKLOADOqB0S1oF/I1kcGXHj39ja42eGwJSOFbYstIU0z2J0NLytFCYs4J/6xt7XsHGa0f0FvYpt6hkz5WCDywQ/+1arhPOQ89QH0SGf1Xpt3+/eJaRpVyb5w7NbWnvFDJ9WhLaEU3kCKQvakzVPhY+JyX21HOi44oGceMbflxHx/JfyLB+qu+WFDTn9r44P2A5L+4UVk+Y/3qRVD+6cc4xUH+7KVAi0T+VywBFWe7b//gZo9/airdam3MqIjPp/vihVxomsoFu8EDMX/8o7ZX/6kBbmKhC/9RA8zQPzXAZoCH/6hfZsemFEq0mmL9OfCPeeyfn3pfGJCE9z/8sHIwygqFfvOSftWzPVOBOYNx3kVT3Z9/1P3q1kvJpPd4/aOOmv1VRx2EVAH/eS8YRZY4jnf+m7ktQh3EVDhz/6yzXFhu9KeQDM4I+nxDEDRZnt7iJIHnl5u+JHo1QYAHg+J88X0s2I0M3nLxcBGLGx6aNhCExQaZPQr7twC3tG+iDbLLPOKitoFKuZViK5rY/uc/X41j2948cAe/BuC1ekszDTeklRUbJ65AoAOT9YU5/gq1nOTMYx784+hkzl/aC4PHE6ROFAQrsBGa3eHYqgZ/urkwrGp/cGFu1bIs/8t/+T/+l//9j5Yx/xv404rmf7SGZvzNct9axu4SdRwpM3s2+N07rHPHE/RRpKAOKH7KK6HFfrfhdUmm5tt4vy/e1SqN3tevhl52mmOgJRItabEVDbovodRy7zcFqqBb/3dSOxQ9Il7fGBFenChk7ONDrX8Xyj3u8o/zgVY1Z0K23yOvms2iM6tvJLi/C3Q4O84Ckd9vR+pSpH/65jBm0bfxL2Q5tFP3eJc1dplZKf/ajCtmRt+/MCdIpfijUONunteDOjCdTUUL/sTSbxmRZsWMzdHVrhZxsy+a0NI5Lsv5fX+lxw8ZnxttGI+r8LFENj/5rpE/sY/CLJma9xQ6GRH3VfJkZH57Ixy/TVtTHMnvV/JapXg0uKyek8qx0K0VGjlLz1TLX+K1VdH0nmBUpZyf18mol2XpyInRhcXNkhTyspym7JEl/hshvPSVTjEm0mlantMzT8V2pu5Bovh++A0NxrhCsMHGHtOQaJ30lZT0zW7m76l0DE3taY+vbSEE4e523xE4F9AFXh4rNMq49uAFoeMiTWXbIHq9jir18KGNYS4SWqXIicSQBjYUU3Nmpe16jVf/+zsT6vW9/faoW5wQ6cYpM2X58Tf+PZmQtA5tdXJPuPnNnYoGq7zYHfIBYX+z1zr5GBwzzNrF6QlT+/vvxYkkgfQ7+6DEt8vkw5iXMfv6LXmv47sl0pps9y/JvTbCrXqmWC17Jn9zgvz92/HbwR560MkrO/6WcdJCWZhcM1x5ha5i9DKhE9ZXd9YbZyP39RB5U52JDROrIPidm1h9rMdcIPzjrqXy/YJva/4dk27sgzR+almyRv2uwrcIeb/7ASZGzL/jQZvd8WXQDgH/LP1T19XF3L9XS2ghSGGgol99WsRYH2vz/6Yh2t/7WP1P3RDtj5Wr/6uGaH8tZ/2vGqL9rH7+/3dDtAcfYmmepH9viPYf9+L/ci/xL/f+h4Zofx/47w3R6vyfbcr+fqq/N+dM4/Ux4f/6t//18gv18J8MSv7XLULz+D/tfKYUv7qc/dzbn9bRvxb1+dW88z+2Qou77tc3y08HtF+NOH8+pWM//Sxy9xwW/9uVx/P/+m+PeP/6qo+HuMznfzviX8ev47/l8VJ3178tef7rB1M+pz8rBZX5z8JBf4ybXP8WT1M858/JHpn9q0vor3Zrv/b82zFuXfZvSf7zu3mcnue+5v/fNF0zfzln/M+mazLxvX6hFOHzV9M1ODM/WmpUXI5yfvIgPRVjXDWGNRtqpSjJy5HIlCXKNDt52L0NYYx6MZ/EILnlujV4ptsZsTTyU6jIqo6PHsRtfuOgIeNA0b8pJjUPxtyhUi8kRXiIOUlpIyJDAWaC5nBXGLvuiSFg1sLB2LKXKeOV9KLzlrNJMGUBTHPYP9uSLWDKzP7ahg/kmS+WjNfsxCIYoEg5gzaT3AAIK2h4vaVOGZjt4c60Qeja9i1k8qR4BVy1DHm0c+7wEU3fVE7NwMCS1r7LJGDllA8Qz2dNBVeZmwfRARh/FWmhO8DOoH6yqstm75Sb1fdCdREKjN2Y8DGrF6CS7Wf0IVSrXGqacPsC7Pq0XCJs7SvBuwTYLTCntho5lLUKJFRc0qCyIYaRjCXO7wjpaesV83NNdCpJ8I5wqMRSz50N0L5hqrOAyNPat9dDmeK1qRduPS69XnPq4zf24aLOmX+FRPXGM4IxC81A64IeRiiaMb1ZCphhISIgvXrpTvbar6xFEj5cPkr3PEm+qKudBFvb1PV60J10IBEV3XvcMZj+3YLFtPbNa/jQdCOs9V3z7bnYcmiioW95Ie2bWioJyRiwDsXKWAn03yS9BEpjNsauXsP9IcCaD+l3PaDvAS8pdESnH/dN+R2UYsqtnmR+Kf0yNZ/nb4AxKJMKph94Ywx0cAZkK5kBRba3XPvpv68vZqxopT+s8nLHFhriT911/sqFN0/CEvyA5nAi43Za+bavP/jrzZA4jK0yAWU0lOVrd2Za4hajUjwOPqrub4lmyDvhjbBa3fo5VB0Yd3rwCB1AEwX1csWHkrbhRTJ3KY3OE1k/BAsv71DuT82CtS8VjhkF66rPUoKAzOxovIiL+dbrR9e9e21kCA7J2/aPgOn10ofGfEUmQ8m1T45csm+oS0mVuZRtwKr3HcDngg0sieH5qO+DrO8dfg8pMmfXYUsltBKt8H449TYipQKOafltyE1fX6FiHNVDZ1v4eeCFRaKEZb7siHdbOxUxAYWlwgSD85jT2OdyM2QOoA38fhgU4ZzNsqWzFuoCayJBI7MGXf++QWLjZXt56OBk30tnhwIRze4cVgy1lI4AN+a0l19VEmL3K3dJBC/Lg4pLN3rQU0f6GFColRqi9KpQpv1wP3XBzJzWgo/3inLtMIlPIo5C1yUf0BqyV98VLmMZU9hOX7detYJuVKnXcd0U7O2R1mRT+qlh4MGGbMb2UW6P8D3QykcWYb9AY8mKy2z1MLglWuNF2wZ8AiiyhCA1FmvmqxPp5I56rLhi5Ed36y3VL/JhZc7Dsw9CV9LXIw+2luOZHhqmXSkXvH7rb280ZJGCAOzyxRrlyVpmCNkLYrOP+aYCblOfHCmk3kZDWg98g4/oDhwl3Zx81MiYEAnTUqkFLur4egRllp7hUSBjJlreh9vAT9zoEAfY3xwKzy45ZS9S73ScSfUIZaz7u5uV/m4ogap8kkrKz6A5g7xKIXiyyvqV9zL0Qb2qxUYY9JcWwllOJ+kuVGVhHThp27FRLac8e+ONP5TXcIseHF7Tl8a+qdr8PC/Femm8QC9rNAJ+nMjyxh3Wde0DoBmfKwZq24vlzwts8J7T4SNBefAdCkavdS+6jgJx16th8AZCm2GbwA+osWJWwsFQoYRHBqxUINWRmYvIW4+5JIJbSzz6CK+LOBmB/7oLCT76RyqqbIKvUPpy3RvOQV1B2pTt+BP0eRsbh5RniIYxacYCZvb5ZD2UE1pxhgloB+2AasDs0s8OalQzRfFyyOzujIG4G5A7vBiZMipu0DnokuLu7VFbt+XL0ztAl0pLij+B4DsGglxONwV+tKOkWkIPiDpsynzFBF+pAlWFuUMZUsS3H4VS53ciubNM64xSoDv16YGNZA9rY2ADVt/SIp31J6omcgoKmfZUKUh1neUwHkVOv9T5KOC3OvQC7yCSOAzQpoE/e52+5KnJYWViURmiywYmnCCjXzXFSn2s5kHuOnv/8vQk5h5DCxiAqlk5fx1iKupQ1H6ryK7bkqtufwGmSaZ7/PyiLsaD0BAJfPJgc/hs6jYNPx9jQQUGk12AF7MX/H0vnKQTqoAvnTXathrq8GPWHzBgBp/5Ant/aPJY6FXlQ/Q2w7xYCDqeIeu3fNCbHZN0ltnycuNL7Go7chGMIMDldBHWQkSuO0mw53jc52gFc2hetLy0hYhBjUO7a670r3xntb6xo+9tDtG3i4QyLWP0+uJQ/6lL7o2D3CYTXuSbSeSEo3GM3IS3W62zE6jWkBgWjFIC0LR+p5q8c+s6u+b8VmEeZAwKTuMg7d7p+h432eHdTjWvw2ypmbhUFW/s+pg3aYdgZqt3y72PTKLlkS6Yt6r6uyzdSjMDlVFTXBxNPPS24iKYVIKrUScqYEhLbDyBLucdXtzytUTG1A33YanOwaoFoNSJ08GBc0UMOO1h3ThyMzc9XHYGgyGlzsL3IVibhFM/KwwrFBOwBeSV2KEEvIQ9AmyV+S6Jp4xxJrsqKN9hlHtgivh9rPdn66YxD7+ieA9f1i6nTEPDtdb5Ml8kifmP2GnK9LRWDtbna9h82JEocgOUApzCedhxKwMvYvLYLCJ5dUBNrkR59UPGlSl/A+vu9XCROMM++F5cPoxYjdKmmMztJTMlRWIWV+YFvJIfdCZjj649bosuS+27GrG2l5e+07xLMs9LaM2E8lhE33riMRjfU6ammEPszPMcA0ma3HEmjG58lksC5wixa6XZQMvFefqpfcuLkkuLRsJilAYzgGHwwV16s94VVDedFPsCIfJuT1z1Kt2v8QwU6mPsMEVpH4VZwJlE2T1rJG1fyTzPws8Xaz1l5uGM9DCU6As4PAyWwfnBVF6PXHfvg94v3JU/Sb4M/CogIPJ4QUm65Oo960yOqFPtoAM5tI/3bCDlbYFrXvEYJbTHVH6sXLlQqsNnhRAm2fckZH3mqEVeaaJ7uZET5e52EBlDgk709yK+5IJPKHhjULwVk4ckMEyPeyEwnHhzb5MdfbgVlTuHiqFuBkjVtA5zf1ozt1Y4b0m/DFmQjkCwLsUUAYbKgUsrMluBpgn3wNHYu9nC9xZKiyVFDLydZh32QG2ukb7dVqji46okIGdzIpwYu3QWab33hlGE+axKYa6qtE9ZmD+NpjyKL20xdfrIWljSqZ5ES8w3glG+GMWfAo0qy/SXHJq8PFdb+RjVbRfEMnyEG7jY1xFGQvJQH014vl7T6c3LZUxFZeKhOgcmIrEPmRV/u1XDfuo1Gpsyk4+/akmZfnefqJZgjweE+foqD805S8aFNdiHMWNR2RHlS8JSQzUjQOAb/wOSs2UwUNFcixh5fFIInJmxiXPzJ1YssrHSNJxZGMxPZH+gvRJFYgYVaazyr5dBBjHWuTFS4Mi2fts5m5H+BN5OnHzps1K029wguaQG5o4xLmrcRGycViCrOTZVKP4+Zmtg4syx1LQAgI2QNLSmQzRIXL/oskCaIT/XTsSbOdpuh1LE6vkWS2vjLa5+tgmYwLnkxIVeP4y8oxre/bz0Eb1syc+KmjdXyEITPH9jASDDPi5LS8tfw5Y/V1duqPiVep/tIyCH+BLkCYNoBcCjNWQpTmADYg997oZKAB4YmIeRcNu9SEoR7Jw3UnTgQTaYnMCU6Nr48KICqEH7OzR2OEgSMAYNTTjhRwinCOk4CkrIUGbmBnLQxXmNa7WIdK9IwrtcPHqT3kfxKlNVY+etTju/XRcXWQEKEh7NigaB739WFUAW8OvtfA0tx736r0i02Hfi6Q8AtnzmcXGhIa+x/Y4W3UY4oMpQe3NsLDpZDNJI4lIgaF81BgLY/gsNEJmIGedVH3Au8PMCCXhCFju2hJH0b6vUhfIjlwdae6SPSzsLFIQmkmK1JGVAF0Mmz3TMGrFtoAtklw+/C1C+uR/JhK5172ggucNlvTWhBWPyRLovRQtsKdxtwjLnjqSf2e2AlYgnSi7A2X5p16VeM22S3TFJ9tt+YN9oIFjhCSbGsvOnyAbyPIR7I+vIXX5wClwAZP5cdCp3BFbYLBZazPUgGy5CkwNaEP4QlqbVCnBYWPyRwZliGKrVF/7LFAaetRzSfgSt5ISGC8sqJUeUfcXsKGoWJxX8o/fmSvmQqygBY+lIeDBlYuDreElWzlypXnWsVacXaYgrs3DioQpqY1yCWO8IBbcG/n34PKPIhtRm6KV2KU/Q0Cw/ZoQ5jEDnfkAOd6d9V1Wos8PB/EGOT1cGu6kF+IZ4EIDJls51tzj17Oeh+l0I8M4Jagqe7f1jmU+b5UOtLuDYu2KWoadQLWrsU60MZr4Y7zNMCsnKRxwmXnWx3Uerm/Gcx3ga7L72DkOeL/R9mnbMHi+v+vprnX/Gt0GTNmHrNOf3yfg6F53G2feYD5AwVosTpSeNNHNlvUrH2DQKFR8WxTNVzkUd49b0Nj0iBesWzFPrcGYfrRGE5XtsD2CLLfVDrFP53PHaWLQ0kLxo5Bk8lb8mbDgV1yk4/p2cygisZQFqpR4fF9257Ght7LHk7UIh2/Yiq2CSunLiuBMawQ9NGQTVgZuClG8NPosR6yedGZ+TvF9N/fFy1NneixICg5OLXUU1vUNamXy3orgvfbGaNlbSevXOSJCAiGM90uTTlzrTWcbyPMEXYEEh8b4tPPJgVFu2xOd8jOejg8d4JksfFqtVW/HY7v8akwRhKDJdrutW9dj+8nqwRq62oczT7sx83DKfZfEx7HWifyr15zdppYyPPxF/3N4iiyHhNgeb2pv0SoVQmNnqZxs/hFAyGRrQhaze3x0H5nhaKI52UFXTrgJLCtQOzJ66laZFh2+oJgPUwIIHSyjiKl+o3yPgQz/wbVIAGUdtNfAfPZGCksgSId7ue8+BJdV3ypsL0vtMxRWZi0CYiv9OQM7WsXOGylS5AvKdM8f7TXcAbgxX7E8rU3nnY5Rc9NARFG1o9wXB3Zc4dTsXimGs3h2saAwP2YXt+s42fscpzLNlyRA3Wt5fGCIm7x25o0tXKILvrJk4QFHm3fLgq533VlnQ2xJnNXSGr+T29GlzQ2Q5jnYhRqO4TT7HmQjKyLhuCifRhmoQptIOPmjw3LPBhRQr1+adWq/J7k43816PGSAhCzbANrMeb8rPQsWF79tVKL0S1q9rJbqPm4HwAfFFWuaIxYzO5SwnJ+etze4RWvzrWhKlH5xpP92fLjtQAkYnFxr0Yy+XdcdiYmchwW1GVW0siWnpw9+iJBKQRcwNra3jZGl63rDbhnpzqiuOlmG+U44PTabMsrdJiVQpnjnMdDVkE/yA37L0OuHc4cgx59WPj6qXxI6xAMfxiz1UM+32sG+uxO/g2Nn8z+Fi2/r6kqs6+zTZteQpIAcLJiMYOLLP0c69YrEhK6bGU8NxDdCmPXhoBG8PJ+bCPiceHcb53aHpBiOEdar5w116cLNgved9XlrLhRctVRYFlsFqeNdi23qUL9dkNWaOB7v6HZcoMsuGknWwlmtgb8fpS4d1IKXZnYe8PRy/sZOKCary8cAUj1fBHG8cOfTCr1ip0Ilu62xWz3H/gwdKR6TwGC061NbM3zFtMlnZI+byhTPCLJPdOeppHcig1hYkzyA4C1BYaCRmo43w/arKT67G1aOXJ5YEBcdASpEp6u8Jq4SM+4U9vP5374vr/fGmTQRfGEkM1+GRDObfA9SVz6jK2+wB6Sp3w8nvw9p5FJ9KkjL6BOOwgmmQ6lWJcv+gUeTh1vH224aYeHjdrlZv4uLZZSo6+pDH9E3R5ELDxuyh/eSWq8viKJRoZvE4A8eOu9/oxICi+DsOGNXPiYQ5g4SKjYYa8U9rhlCefQdyX9OQh2roIUbjavr3d3ZJke2V7Qn6e6znzu3EQqFER38hejdSU/W+RNKPpt0xpLdembAieJUbi+MAdQWNBPqODMpLZT7Tb3KtpnY5OvO1WUdWEc5wb7XbIr9lOnF6ujDTr7bL21flYtl+QixClc8MSRPiSCV+35POCXE6CjFPyFcZuUZAXFCSzVVbfd4EGVZDyYit7Ytx7HkbDHUKQtybrnERTEZyiK2XVIwE0x4ZZPsfazkjb7BPNYpd5tvrxO1Yj4JbnI5wqUvWFSMgjCXnL7OPA+FlqOMg2nWji2okbJ5QhgnqTBVH6locsb/Dlp5aMyIZcC/8LrHLNyOvKxVYKC0wucqHEWpULXrssqpjhMgUfg+R0QyP++9Em9ilUUDYhjCp9RslZEqMRdfLXY0THU1/FgQxhro3drfRG03PlyAJWehdy3MPE4uqBE+mVfczn05QnZR88nzw2o7SDrHfY0xC2Pj4TbYs0hqVUvndopmqMcpioFa73JvaExeVtPsrE52tM8NFPxa3c87fHpuFcdR1Wza36p/fmEqKYcxUlbD8XajZ8u6C0ThbBL5j1DslWmdV6t2L1Pcx9m+D6BrUfoBBLNjKDDfKx0z9+PMhlKsrsMbjdKvvf2e3rjk43mgZxx/VhrZnuvmSZPvFRiR4Nx861+93KtIwtL+nsZvo374yJndvN5p03ruEyETISAm+v6mV7OgJZztS9p7RCI5ReatF+dqxSTVdafrcmdEswr9/+JYJnMSCCRmLpFf8W8FOpqPj65eH1KFjBtp6C0S2Y+Hx/y76+x8jef9zR39fWBL/N9HfXzv/k+gv9f9/9DeOaRwvsvzv0d//uBf/l3uJf7n3P0R//z7w35cSHrutH/4Zq/372f7zQPHfz//fCf7+fUr/OqL8n6589RNj/RVdHYs/Y63/Ksz6j6jvfxsprou/hYP/GfP9tWf+K2wcp/O4LH8cd4y/AsbL/0fB258Vszjnj+AtJxfSoT4bn+w/rJhlIlryrlxpAGgnSliY2VIhjTI9mFExJD2MAsq1vsfehyMzyL/5wRMsscjfwDs4Vmgo9ihZsRaBYf0qrCLJNKXzloaZEbln5IQe7LEzTJ3NpatLQBqIZ9oiAoPwbBQtZQCCYJQyQKTQjASBubUw1GTuYWMfhB0yuLCjjOaCOAcxlwAANS0zk7cwrVgcpUxvN1C/hq2hTzyvpwJEcSQnRg+EQD3b20ADx5sCZ6CBwQl6eYQ45sRLBIP3g0fAYZVBoASPFRyz7T7JsTBp/ZO8BRmtY/Hgr49GXSq5E4b3fOu07775Wl+K1MF9e53Td2qKSnIBGqW1MHygjsOSoFvxjf9q+W2hWbCgtQEOE5954JyvggXBYaFXzNz3+b5GvtQwPtT341/qx7uSnXuMP81jgQ3+rNl1CTDWKbuomEwNtv2bapLWDKwkd6UzNjcel5zcjjWPMvQusWHXBUBGCF2qzquXPVw3KnKZrBgCE73QuyPIi1f4LNM2Mv+SQWb2aXRtAIAIr2Ada0Zrg21VOPG2CE/KDBps6IRF3ooAgTBADs2OvJ6pQu/VI7b9yjUEhQGdvfh0D2kUNsYamdOMLk+iXO2KUiaWJM7rqhHY9HBUeo9jd+U+siK75dbplRIt1Ft8K6TvywYcLUBzAU/ShP+W+Hw+iL94WZtzHl5coYCCM/mlr1ny3exeGXRphFxFTIN0wppXSauEp4ckdxPbCaqziR9k1wivQ3DbXWR2TUC3sZEt2I0D9HsxYzQBDIKzSxxtM0/hNmvhfR/0eNZ0Y5jORHXpsZ6mg9V47qsZTmpbMTORERLmZ5K0lQmCP0NKQNnC6iV9L5ciAEKgGAwv1HXrHogc5R6li6lkqrxCdg/08TYrWVJJ7+j7tB5cyKQtlzcaB0DBsh+OZs4K2OUVeRXQsNRbWFv37kOesxdIo+5uTNAqnddjn73JdQ1aVvzMIwDn9Qq/az4g7VciFw5/fkgjEl/F5chyXx1Jguu2fMIDysoBDLiNP8Fvj8whdL4d75bpJgc26u62nRDbXdmGBCDM2FQRGP/Au+nHV9AESSkt4Iq9Q+l0A5kIhW99oxd2XkaQV90dZzqYDrTJ85m0f1Xk2A5SWS6uQD4wJgL3LhhpflA3QT7A5Ihmqtbjgu4r4YUD9Pe5tz95ZdEAwYpKwzRQeweQJ/NCchib3eGHyZeTBarjE68Uw+S5uVqmVzFeWYbMw8xw5MhJ1i6MgSg+G8rEyaweBxbTsyPbB0LIENMWl2BZRSsZJQNYLd/UjZ8BpMPeE8MvlYkyLwaUrPI8Ujvp4kBePtblvOd0b7P0+0UQV+TLar96No77fsLv9xzkaDRdOvz5LBDK9CO+Fbm3CIf73sr41aOt2xTGClllu2eFMHgTNMElJj+uLJOp17zvjRBdE1lxhDfrM3nV/IIvL/Ytsd/8EzeqJE79g1xyQQ+0rcYGR52+pGwvFFQETect7EuT1nnZqVbfhFqkhTceUkK6jOEMIy5BzR0WhaRcbEpojsxrDyVWFiJs0lFk51Wxa7k+C9ULktMOQHyV8p3pYd3dVyZQm9lPh1zjmu9Jz2EhrAHdOASnjgyIyIt6gA9dRptY+2FR0Obh1w7pYVsYyTLNRDhnRQeVD+tLEwiF3nEov15zuGTsEDjblLSWjntm54sih8YnPY0mbX7yZisDbM78NWDFYlt5FSK5pL2bm0T39prvNySN9wzakLq5Erzi6KcjPil01LXlvJipc6vPR1KIOIOVnvngM22MQ5okgPMN1Oe60h5CPhQMF0vr0PaZZlATMEbmx1RPa7h5kHOMIwi7IFbGJYMfslFrMkynk2b24G9xGZU7NZeGN/oOb5WVSDU2OL9t07rxQhuBhCgEg0kGMCBJ4ac7uyUwau0VNy+UF9ldoeoArdELIzqymYTP9E+hfNN5VO+LoYy6bA/qDUbh50p1Ik4eiwh9Z1fxBARdlTp3JqRH5M2oKpqOGdTo227g+CQBU+AgbkuFlQc6+ybAN3ILxJ5YE15+vd+oF3jvIXPF6eYvA49uaC7uNLXWlEux1j+/6YlE3Nwj/yd577XrurJlCf7KQb8yd9K7qieKnqIVPdHABj1FJ3oH9L83tfc512TefKmuLnShH5Yk0EQEI+acY4yIuYK3phVupIoMCKFl8qbrXmTzgT7yR/kBYb0YdAIwU4AawhDEkMZANADtjJd9yWDCfnq7kuLChTjJr1UzJn3eUHfygGrHLrSxratR+jSrx5lvLKMN6oF1yJ7ROan27FPKI8iJWvJdj9iYQ914ltIL1HhBamzHwOnIPaysQXIET8oityiEIF0AVDWVxt/E8D7QfYODsX1/6qkZXiRE5a5bFVc9wmDz/sYCm9vQOzyzSPX9F4pyliwpQqJoLSFmLfj4yq4hMRGNJO6gyT5u6t29iJxN2V1q3saLUxTg+hDKOjPMnCql8GGOqzPhrnDSt2ErOD4MFNwT+vlufMawGUlhC+BmVSfD4zJTNAqCPSyGlB36Evi0eeRuIDuAXjdLIjE8Y5wqYhFk7xkxDojGbRwX0F9jhjrQahHXsGdvks+FiIIh+qm1gmUSRHU/O0sWXHI0VwLPno9rGXO12aeCNPE00j1SLW6NMX+Q6FEy2fZj4Cm66zrCsl0PFnidY4TjPH3xOSVKZ6NzAQ8Nk7uGDhOJm0g+281RG0cOtepKEB5X4rFjj1+yQXEEzfLltc0faw0cpgy5yq+UDrL4B6af4YkXzZpOcwojQci9TTVGgX5zqtUowEV3+GV5wWuUd2/91anPj/1WJY5wAJ61o+38KBWc4g9DMztXrGSOqN9fQdkkBqfVXaxF402wSbIFbcxJKVHxztRLREcigo4elkuEoIcMIfsD7yKxflpZkBIYzFhgJkwj8y7GxEftmxBtO17XMZ8o+iGSSqOsCfPR3Xl4rcK6ClDujIS4apuWuAV59BtDWOrxOIc7SDZa9nk1YKZKomusaDB+prVnz1VPa45vhfMDoSOaptLOOXKfqYK1ULMwdyRR3HHtNqr7eiqObiHZpSKureKmg72WeXvlQumGBUzM9KdoPOiPQnfiCTZIieflO0pSHgVergPTkYa9bX+NHE/iCu1EJHh+phBmSGZK4uDHD1+dHqkO6WfEis7djUdjeXB2fSxoe1KrWpM+pRiF0FV3G6PCmgDFqN7WiOSSYWFoKo7nGQmC/U7UZ5LjMjKs7MeCEdrKcuBcHTAOsTDqZDUzPrDo588Q6MaxFmg9Jc7rVTEIS+Z1u8/F9tCdNkEPZ17lIAE74+1sqh8zyuMEg0DMFJtMH/ITnEMtXYu1Ma71BLPHzfc73fHNHrfRbLcYQl+oUZYSGrNkXDYb58TIuY5LRt2ZJ6wyrL7Ao9+7In47o4wLb+faOb5rXeZ2vrTR0yZhopZBlS/G94yo6s/ycX79MT5kpCTlx9dlcU5jZj/0GK4paUhfh4/mGzd4IL4LN0miJmV/foQ4oXwE7WZ6f1bDNm8ZxjREoBBqm0h1QlLl48bpA40eidvA9M36ddAZwqrsLAZ99g9fjiMkNbMb7avs5drAeMIIIRdlQzNwmufNzAVReo8y7BCvjR50BG45uD49JKc3ym+p6LR0vH/jjQIEkwSYTnQInmE6FXnwAuIHaNmhyg6/9u5k1yqg2E2LrjzDAevhX9KjUkMzgsDJqF5WRw4qUS8XxlPPtSrxT5zYlVvdZR1kvtL3/RsJvNQCksmbAECtUHCYfJ+ZHJWx2Ks8Nj9/LP0awOOYTWJRTiY0gTq95k3Xj16wWJ8pJManbU45h3TEQZGkaimrt7ivJ+6tlDuSNoJrfhJUdZAvBhsjKIHqikUHIf0gtyPrLwWj80eoo68JONw3EOYv9K02S2nb28eZwXCGaI/K42Hycs7o0ZssxDm69emQJw1dNNfaU9QnDlOwaenOBsvsqB20zhsOCIPrepCuuFqL6++TVvevJSbP4d2cYoHaVzsW04scbP0l09oRAQOUoWgzWGmIuBiAEbQnQ+UdKj9Rk8OycdGZC8KrH9DkC5EZ+tNznfDicgjvxmUg1GNYoZzottMyVxCsAnsDNpVWsX4hkhSpp1sld5qePfds/eSp2mdQfxPzFoBPnZx2X0C3giih/Wr4GELgOA9hKymMl6/rFOSZnOZ9Ej5MVLredqXY9KAnn5UZM8n5bqP4i3M35vRdY75stNiFLW3tbdZlll6gqPMet5hE0H0m3ectkV5CBIf5F7duknxRt8B5HDHzsIb7Y9geIYQvhGydL0nRPKQQcV8gdlNmnKZU98tD5Q/3y+80QD9nFWbyLx4yQdUN62EJv/wOh6IWKz73Rdxa3RYobWXi7NaHlJAXNrCLNye5eg8NDs17admv0640OQCD9Fbduoat6pt8iurr/cybOAMmHJcQgZY2GEVQuQpeTg9IXLLkXvAeEdee40bJj4y7sRQlRR5WP7ZdyrTVvlYAcgKHzsX4s8eFIs1YSg2S0MdvLPb9FnmO5GocpCwBbXwLsQGGt9K3ZDuaFSK2Ecy96cGAIuQwI+KQb2ETM5reIR5Uks3aolm9LrbDNa/zZnDuprIFCJA81VvU3Hp1kjPoAH2gS8jak4vcXUkY4+knFQ5C25C/JJiTebmoUzil1jZOdelcFwlQAM5Hn55+ikHTdmM7Ny1w6+45w3sQCchkYFCXeXyew7gYU5DAyC0JK4+4eZ3cdFnTBH4JElDkyJd7AVJBZDwIUVIiDdEI2wZtjfJ7SpgYwp5qO8S1tlS+YNM28sVSGpO11+FODrTdFkUwzmMYpxjtO1J5bJSKsFxnMHTbPi7XnGbb7aS4FpQYRhlCfpVHPRBif+QP0BDTmlTwNcFaAFUhBc1v685pQ8sj7w2MtPFlRxgBNaRTXpqWV43S5iGX6vYbwgGGjQAcNcYd+LgxjfqEPtO3Y0WeWD3tGZhXV+9VWUga+NjZF8VMum/qO1VkF7IAIFQiJsbvxnvsE5Q2J+JNc0wauVnmxVoDqer743FpZbLBM/DaxsYfd/lwWNa7aQx0UxtwRJJexzySFnY/A9w1IwgZgL81r6IHG8O8NVYAXlpFAM9+GhKvj/ZDu8dPkU6JHT0ljskpKl4O++qvbaL5C1Ez0l8bmEshuoTqxMStg7zprFEDIjbR56yp1dlLu4ugc4KDdBLGL0BAZ490VNGfF6A3aLy68ciFyKC0VrdqpjQ7XUN6qLXnmD1JNWCxEu/uHdFRtx46J1nV5IyIYmDQaAQ2TCs3GuOhLg3c3ts07b0R0vygWM56K1IPesk17QudEc3dboIQgVG2MtADuEnTZKLgwN0gysNE5RXRQxDAiPm6dnDKuOLRXBpwzMQxvA0xdZLW4gQin0NS+LQ7lJHWkUhSH8CvGFGIqRrXe9F84fkOrfNpuFza3PxYprQwR6U/MXxy0aShyt/c+oXFO71qvzFcdQcDVfFf8A7KtQXXJBXebWHMExmsbA2O+/73ZIm3dVdkdB0FnX/5t4Lc/Ec2TFtycPl+sOAS2ygs6QNYeY5m5CDGdvP0wvQmFq3TyStq8iEUHq8BxGhybFf1MC65fACOo74YImC/6+D4uWocJaf0sp1C0dsJCIsrQofjbOZ2bLwt0LM9KpZlPc9tq8qbvHRmW80etiLkySBrSVlfSypLuEXg3xeMkaoLIwic5DfqiGscys/wkZ2nPpP8e7MOAjQXoUi9TnxkI49yRyrHHKj0+5VNFePjbL/QQH7Y9mcpnljivk7HTvxniMw1EcY40wcRWK5JcxN5wbBeOx0Qj3VRX6BOxH2fynwna/QHxKYBQhbpqffU0CHU0xqnbk2u795LAi9yqDIYtW7SmM2KL7kQokxboIfT2JvJAhDncEf2YbanRi8A3UWP/tWr+vKS39qp4tmjmtCMH3GD5ITQ9mDDrembZdRWBq0DQunp20FIGu0J9v1YWEhPWsNwgD72jfWM3MGinzGqVG9YUs8hKhLOsB/7EXz03mas5e6E6WbJ6kYffcPVQ3s91hcFp6T5PrCGzIJhE2qnRjL1IOjC+JQ356U0XA8TEfAgdzNLJjULYCxRqcZL6QbKqoTYDlsdZKUA+OXGyfXL/qLEqbDA1hbUijyzWxcEcT9F+BHalSwvIVKXnS97SLkVabqiKf8wLDyIH1wSezeJlevGOu1boI2YWN2Q640nwyW5v47LO/CE23GaAx8oubaXwCJ/4W6CofG7cIVfuMsD/DAF6vf47VeL66zH9vVHIRfN5/XRsttGgttGrJsec2mpk7gC4/v4MfWuEGayqOe0gi/VK1JMcymyUJGePui0LSOQPy+LX1/AjV3rHksbdAVgigKkWcy8kJH8NVOoSiiogrypt7M2+mq2XuvBbA9pH6J/PNTraS9KsMTTu3kW2PN8mHOkkl0fljdFTB+Bo+XPqa2nhIwAZYwibJ7MluvH7dCrhxHttJZubk/GxGQ9yY4iJkN5C6A8jbbvb4T9XPvBGoUuR2K9Wn0MjZQWTzealSUdDLfj/fZIkFRXVctOMwAg0daZeuiW7s1ORe9/SsTWMwJD7FefXwPo60Kdpm9J4AWyq62n+SHAzn6a+vqaNZ0NHp+6AawblXZsdfEWDe9AQwwVDSy4kI7Pu99AVwViDTSmNaDHy0omUYQyyteIddUj7pFW5OO4JUAbhFKmw/r7A/a6CQAWOEZw1utGnCMH0ui7MlFjh+lAUEo3Y2gB+xwb49MfpnWBpE8DVLN8Xx3viuKxzIET94o3exW4qkUQ5PMZaolMqSTQLfKk8AzgWR8bBov6jjGcl8Jodx7WlF5vlOMeLkJAOnYLv48O1c4KrD3+ND2XMe/ACDuP22cGfVxQL16t+Bh61hm6cvcTNHhfr7rlVghLmPQWL6BNuJUdw6zs0tGhNNnVvruLX2OhwCBe65rXaqXvio1SmK8tLne5mpRX/OrDkZHBKU06v92jaS+TSOyA0YdtFWeEZeykIMF3gvLSlL8p/i1hbPKJmyEJKQ8g09kbiFEYtjP9dIsXWINJr5r0uO8WHyeYrjqyR3VvsCKGNv4wkDTdzjtka0l1+ZI5szmk6fJrfuj4kzdHpzOMdLh+NC7t3pRuwbu9ujfeqDivtY7EJMGtQ3dLmX3gQStqbu2ChCbF/r/dDgZC19qcsKsqdVno48dT+YH+2Hxx/tlxvky6zidHcUzsix+Q/VBhpVpmNVOF4EC8VSFeGKV6gplaAoS4U/fTGAfqfPMVwzdm5v1glpb6d0cthZzY1OLwAp0jfjTzdnOHf99Nj6wWayncSk7k0IGfPD9WBBGRdJjUT3TO7Tz7+alo4cHqktzVzFq8iUu4VEna5JPoiOhH77LBdF4EweLN5/ZbseGRd445wZuZMkpqdpWKbore0D8EJhzH4QdP9jepXJhseLw4zRJeBkv9uJ5msvkodzXTS0LGCA/F09UTD9eZpmOlwNVwdaqNyoiTBJNnNQwISTsHglQRV85iLh5sOnnhYtMJRpuVVIWE6X3hxObJhlw/PDF8+cRPfKlj6PXzR6j6VGD6fjr+DGKFHtdOM3qdf84/ymsMr81aDNV7ZFTd+lSuZG4Qc/Sk8Z1ms0QY/KSZLOmZMCRU8kKEHGuddYqYaTjLCRrFozfQd1j/kBXBPyui78Qn9vBK/HqnbYvgIZwJeC/GfXcTAF/8QVCvn65YjRvma+UQoXRgQVIN3yKP7rz8cw0K9A6o3vRDG/383MqfN5HVkkRPsPoJ2x/rgfllcDMen2Sz0zl1Zxs/acZaM/6mCnqE+NfHJ34839aO/8TDT1fZ8zrqek4Xxw9euQH3FH/mXNmFzqb+YC8307BFmZ5vtZzCmsMoT8BIL7d+CGEqmqV1e7l8ylorWjAJQd7Y86k3MNYspx9kwjD2J125GP0ocO0UTEsoyJ8a+oxlAt5+yImNUv3LnLHotTqwV/zsLkv2Nl7qcMgPoACfM/vACzP0GkdRBVw5NhUqTLtIJCt8UtsP2Gb0H+fgj2JqqYh9lqj4A4bP2zWlNjBE/sftkgalixxRaIprOUT1Q/OZKKl290cVYcQ4pf37uY+CMcVWlsg/JMoZEm1bWKTAX+IpodCyZlJHLlcVq4o/eiKt1CUv/3w9x1fg/whqb3qQ2C1/em+3zd36ocShZojvT5KRsWZgS//TPHKxH/XyxzY/j7I9lnDHe/nfO//HuyC2LT4qm9aY81kWTgNRcPVpmqh9XZMQ3BbatrQV/j9LzPnHLIv/vRNzvAHv/1Nizq+D/zoxByP/30/MKWICzakY+efEnH88+vfEnCKnYwxJ4+9R9F8exf6emPPPBf+HxJz4toD/619X9k9XSv984T/V/8/5Nvu3+6b/4uL/UL8Sp03+Lfi/2pzhd5pN8Wnbz/7uy9/5OX9tjDBMn2xNlz+qOPtjfpf9PTxp3C/t+Uf3+VvWzbv/4x4l+D8l2sTtcoO3sd5tvVs8/cPWDggE0//2vQn6tZ3D9+5fx4vPOv2R3g/3HeZ8/rc/vn3yb3/89cD/9sev3vx1z5/P9e9/ON9NI6rPtNw2+UdyV/Nn4tDvPKP3fLf9vuWfWvr7pvbTl3+753e70l/F/3XV//l//I/lCuXf3GK+/DNXiAPnubh/lMzfc4XSDdlu0RozF0KcgMPuoYjX+tSCu6aXzs3Wde9MOxML6ocGKjhChYpi5MMZcu+wqBWzKxdDUanEclSC3HNSaLGoxQzfITnCK/qXGo9t4q6rO47OlkwPdHp7HuzlPTEujlI0Jghe/fcDAACQRanyr50yefUhYTwNAoNJYTENgvkCfqdC4ift2h/5106W3x2zLJNEFpKqvjOef+08BjHuQ9F3IUtH/q+dux6MbWni33fZIuS7G1ZMNjXvbzs3Nxxz/K1+431Xoq4sdwn3yd87eynMrv21Y1jFfd4MY5NlSR3uX3XfdXD/y+oIb2Lit0BHm9oKX2IepN1z8OTxUWoz36icurlmJlZKePrqKQv0mWHg1q9ONxl8vbqor8IGXoAEoQRC7BGR3HEsaykYw7/DLm/ckk+DgfaOriXaNCZ963SNEi/EzOTcIw1qUCe7/DodGhHIB0Ib4fu5NEgHAqQnrDN+oUwjsRbWBEjbZczjuV6fzxTY+V4MwhDJw1tLrXcyWC8OnlgqxVloDzSlI6zZWLi3OUUKxvKkY/Qv1mVHyuOlidDwnBxenwHtg7R1pcNUFHj7pHtrzJlGpk8Rdin1mXZngyZt9PDa5gU2SU188+BkTabOrhiWhi+6GVpf4Sos/SCsCCacTuC/6dFDG1VTW/VJREH4aurBQyQyD2BCqRgAkUl8g/aCBNpyWKVyfiiWLIt8O3OXr3+E0feifP2krSTSQ4sELJCfhPzYin7082jKr/eloBR5tfrVeSzZ6luyu/CmJ0R5ItbUd/3qfpQMYfuQs9fVJ5Jb5JpZv2OF/ATWqjQAhTRH2+DTnU6AQq8rb67OoLXyr1m8tLdp85bqLhAatgHLyqUYAvEJ0QOeZAChX3C54ZS5j58b0dLrc+nYysZrsGbrvn7AJyFkZ3aNnynSfNIP4Hxvg7jxadKhnl7UMKXyYXk29HPeqJi95zvglEC4d9f4xInR7h59VSBxLXp0nEe9dOanvuAgF6FmuW6+ga/HEakFmqmFQMuRmosZTDAnfcbqSfWYOy2IEqMbceYVJ+niY38o3ImpKz2V2HqN/TFR9Eq8EFg6DlWRjkyKfALtt0wx+HdyG6YSrO77kibdWhX9+ugXeuhXvR2A4BN4teVg0J3gFMMh+Y5qtDfyLcnWHNJawNrnLfVzk1x1ieSi/U34FCsA+LuPZiQxKnMm3p8iVN8WdQjkFkezueFvuDsRVL4fw+FqKSPBj7usS3SukdkMkNAdvAiStCMkjzcibgLRXWgiazd2qVdxvGsuPDHPqrrCTD+1iVdDv6ONReWlCYwnd+MfWe+Oq7IWsJ7olmKMUciKRxPHCKzRARBkPVdxl5GYPfVemp917JDmtWKt73cAvV6JEexJv7fJVXQgbRY4favMi73IIL6Nows8Fcqz8sGm2Ra42fbJCgz0Og5sz/kAdPTDw9xemgugYohBd8glUWpgfli3xf0xRvPr0TanU8hnoF146G2GTCEIlUvK45oXKwZZ1sGIrkkLfnV7xpRUGKAfyxYHJNgJZfvAD2hdzmviENzYcoGaRfIV9I9wI57CuRT6TIzugs+LhBxSvXrdG4eLIusD2Tmx7C1VexDgzGNMQQCDEknF6S5A7iAYExepGBMl9A+loNU6VS7zHmz+2o4Nn43382pz9PNGadUD8WxNCl8jbkNahCMLyM255GUlJOJIJHuXnP6Vt9wQBZSzVQG3GiDqRwxW4d1aLoztzEmWvdI/Yz2lQAy/xfSDaMA/sQmzd0bJ6QX2Hvvv2C7tfSm/aBKSxr92rUSrO+AvOCK9fOk3VkkFaz8qFF0toNF+xfxSTe94zqKBWwi/d6zkmGxXZMRM88H88w0GBvP/wzZx1YcpQPrmB2cEgqBYFAD4/ACzVu5lKomsxb29shS6i2cq2Xg+Zlm6aMDkh/e2UFpJlBJmsVzE7g5L2Wzt3XGtOamTzeGyU99R/oS1QiLmrupNo9yugd/5JrmrresHG+Vg2ARssdy1UP6N6/ZrVmSRaQJDlgRWnd96Hwn/cLzGUtVtZVfuEtYzrZmtX/72/Wv9x/p5cWIJkjwCyagfNPwcMwWLOGykKc3e/f07v6V/95lfinzyjfP3skN7JZ+E/1jacVnHhTlPz1QGM3boV0pk/urIKbrLYs2GWLeUhkWlD2RRggFhrJhfw6AdqjKknw/mpYh73x+xhqkJX0j8Sf2qw5dAL0E8D/Xkqqv0zYY9t9h3jdZS/tsnPdNeynxGmlj8/j2ewMjOd1XwZ3lzUdlZKrSGfiTlV5Dcqjt0lMpYBEczpr8/R7854+P7PCgsjjSCM7/7+1EqMsCfKVKur7p08OYMNUQyKq75/RuQqr7sNtwPiKckkw21OpWmPIXFgAtlyM41Loi3jy4x1vG/Ktb++s5jNklfmiLQtHOSM/kEwbWY8BncDY3cwK3yrn+4+v7GYkUDeAtwDrI598QYvctMIDcngQCPwdPErgVf686BffnN4bN6oCqasXov5N7nvr+5brNV2h26UGysOrNvKf42QxnbNU7khoaLKLkbIVjR/R4mkkCj6O1FHLmSjRhHxDE6C6naJWdWXcpKlami0dXMqWE3Z71gpqXEOlp+W56ZQjsmrzwdUYo467PrnbabQiTLD3tVHd11Ro4jBj78tL5Oy3d9DodQdNzkAJZ1gmAZ0GDrOyAnVicZFLilgzerUdbuw3x0iOMlfBb0aYjxZHw/CRorMFxU6CVXIioPwIxNsAHgwx2mKaVqqpNWEhjo0okmIO+hDJcQp4SEUkQxGNOq36b9hLFOctQKfNqzUUg+77IBTClMAUnd8rE4wAqlo38Wm+zC0rxhyFlTmdhfJCWqfmG+0n7Vw1cMToIL5wr/N7shKSK0pdLix5uiTOj0T/7oqGrM4qKkvXk6f8V02v7pS7ZWfcsY8fGK4k07ngCQd2g7UMSmFTS1miEARdPUV3R5s3HQhuVw5gNmGw+LDVONT1jS2uVbgxgHQRTlx4EVmlgBshqB1GaL916G9ivNnD3fGEyRIKc5LE/bzI8zHfmD1wD9G6fop0/ENzpLD/1uV4cKUyWvnO/2Di6nlDosIg+zWMqR2KeRYy1ioTJkszzt5s/2op7LJ78gK/o4zpjqI9xg0h1C+RHDY2XIr6HdXVSNAPxxN/Iki3K6bXyLq/4k6k0jcH812K/NrzwxJzXqv51UnAdDIiwcC5x4VkZhxwQN0aL349uX0eDwt61OlnDRvCRX0BVW/Z5yBcjGXWew3z4V5uQb06ZYmmlejHmI6Ll4iYzH126g+TU8dtUQqw1LzIo3kRAx2THvH86b7h32UYmIxrK2WWkaEaYKu9dW17vE5qvKfuzJUYbQ3a+WzVeC4WiHtvEEoL+TostH9jqPxgQ+y/VX3LyaW7moF8EjdO+NcKSpYinty9/Hn9maSuZCIRGPJ/b8x1gb4HM532ybjxEi19U1tURTiBFTQM6dIDNQyHW2yA0UjSfNflsB7bOM889RJHTQSTcg79Ru/dDU8k3eH3fcbe7xc4pE7fpanWHPqTZ4BnlNNKrNoPvPcSVP+RHLjxDvbx9XUui0/hNA3N8LKYoJGGqX5xnzMUXbPosRR99iO74Z+1xvQqdczEZQ+/Nf3N3uM+7FIpofyKo5SqIypFu9TePGQATV/CvOLfv6HP/y3m6vAy9LX91Mz+/fj2saFwNqLIU99TwUtP8YgL8hFYEObPEG2NuF5w3o3IONHdaaT6G7P9h9O+++xqD97pulZOLJelp802u3NKqdBPIPycdH+xIf3D5EpYud11dD82uUblKFxW9SPuW7JgXxmMq/vlzjjnd3nzvLVQ9H7Dts77O9q6XyX2ORsoXDV+r64FbBaEKGtfXqazcG3vmNxPTI93LrL9x10jO5bY7bHs4oGrzL/Yo7xklWvzAABt72gOcX4iF5roa6/pyN5o2JTrESVfr4ZY8Jp/IttkSqnJ7BgTzdmL71LosbkfhNZKvo5NR6yF0jRFHTNGEDEKTQYLol1IM3SrLMaQBQfdTJHErVvusMrJw3o2OBntlKsu18VDnSsg2H6DNEznS1w9ZFuxdRIFchw9t7Uj+LvXfcIffwO0bbdcOntK43Z+8FjNxwraFyAd5Bun0OAy2oE0afpJ5W2Mpl9uAIR6+ingG/LNmmO+/5UYj12w/T5skrGLxaHiD1zKO7dywRNw+TXsvyQnLk84ExlMI5P8YLYVMxoIHW/X0gSrgNfk3qzupcOI8aOiTPZ2DrsabxAH/4nbtjOU++QC8NqG3an1VxGaJuwLG+ZidXrbONSTeBvLlnSkK11cq0iXMWDivKbmwLDYjyCcNv5GNb4OkMsuMC60snG2WrCtXITALa/Z476uKRNRcQx7jCRaDBuZFq4Wyen5iG0jBdnGTmyQb9yTk8lFM/zuDnQginWRHjifGlMjD3OKOgWD5fQHGK7Rmz3/RakNYGT1otBGltF9hJxKaRBwlokUyDhhJoLbfwMN10Nva2j5p+CikKuOMZcaq2Svp2FKl0a9I1oIIG6RLVR5APCj3TdRqVG/VIMQe9GIGH/hzhWRSIy8I9Jd6bnOwbuIW+qVbX8opStm5kdtbpUaxnmhx8tNaB9EzP6KNldldH+ozJ0eiMaC+C+SYk7yilCpx6IYExliAkD93OIoIhBXfU+nJ1NRizLHadu/ZMAlrlUzz5mwrRVMQ0Q959JgtDJRUI1ThkoE6KqNTeYNsD+v7c2uCEFlvhffAUlghTDX37AIxmuOfyQaktd/hpkyig6dyR37F267v6eZZQ4FANKkGui+k533Dsll++E2sQnmuO4UKGfmsPnlSIzHadac7V8RQtnudYMMQEp+ixF084zCEbcskrwGWl43NRHzeu2CT6KloIwjMduBViPmrNrZPv9m79oJNQfvvDTZrrsj1AicvpuRi2mxIblLclWyWbq0p0O0qYuk3b2uMXl1gkpc9HHuJY4lOpLM2mubpMN6G2wxd3K2GbqRRh3zxJgb3wDizitHKGELsEhSb+GMzNbmkqLI9JBduJhcj4yspg4jE3YHg+lR+AUUrWtRs4sfSk0k0C8w3JAUe911SLv8jFFZ7x5QIJmi9jm57cHVNvLqbtxKZUj5XFrghmmiqUAmFgrLfscKXCzXAoP+4QDeBrO5pNudsWxQt8XGVfojK2PonvDlPyCIYP8qd4ndH8cAxBZ1mmeixMDDT+g7duaEhSqGMI+lE2hVxaJgA8v/Oe73pntfUVvRVG8Y/u8XiM3JXGTxj67AvMyBgkgFiHVB2xU2VbW/UeGJXQL5UniaGuFYkQddcrfMqvGxNfcYuEYmPYsaUx9yCO/THUfehvbN2632nvb6x+zVFyU5PbBrvglnePxqTvr/EwUz50DxWozX/UXJ3fxW8vA7EaZd9wtCmvBAp3/k/8uHFClmL+wW3vpQ4lV/2tU36ds1QN2X35LsObopzlbpHHRf4mxOwaeqzIgDfvoFTUd1r+Fx/8Fzie0xHc3Xpn+AcN9LvehXxiVsz6oe5lBFp4Mxip1a7z/OswkzTVsZBbCfB9xRiDsfXvJ1X0i4ZvFN5V+h0K9NuI6jUm/TsG0t2v34H7RD7H2swsmu2fMRBiQBd8WsXiCRC1mAOruMnf+Q2i7PF5UOq/AP9mf0ML+vpQ1eLmvw790oK3phtIrb5xlotugn6ELGf9xbGF+1YIklIBydQ927xxIZY1Mc4/5wU65uxe57zGEcVVyQoxfvyLw/bhB342zwf7KN87Y08NFrNe1sN59WTwm7I+eCL5rhFwe1vK9pQduz3NxAhFNx49eOTPc93vc9j/2nMwaSrqaR/567F9nMXEgwlw99UhJg5SS5v1FwuPGquUuTsWPXY6I4cmdAKqftItmE8K2eDszs4B4hCA++qwAHQB38ipszoRjGS4nNsKkljdXVyr8BE8VJLEsuJJZ36askOwf3gVSx8b1Gysy2k+aRJnvXisMq+v7xrCPJiU+JYKk9qCVQ/qFa7dZiZSFko6gCdy5tNtQqXjb/1mARodkgO+Ds8pbhKG0w7cc1mfqYythqMDI+i8666l5CUpwMWHt69rMDrXc0oPhB4APVbSE+kOHQcpUggfIvwBN6oRgdOulUpG0y83uHkSXmJ24hpa3u9liRUjPTj9AY+0rqMFE7KlrQ7s5/Sv4lr1GTEPqgNC8UX1taxnuh28HfWmASGUsKj1NQRPYr65khjCZJzJADVqoy8knn0G5m8wruX5gnvINmspgQ36bP19E5CA7UhCuYaz2Eg5Qz0Ec6fnr/EBPfLVS/UEE3FiIJw1Q0eIfXbYUFk9mPcTJCFrTboXKUVQzmHp+8rdqW+k5zVIervFNEEV6a3F9Ia5/MAWEPbGqpJVbPJrL85tSxQr3+DyacJLWI9uHyOhe+W7u2xS991xUo3Op072gOIvacJ4oA81+JFvVMcBalAe8YXHSU+v56cq4PFDkHebPU9J8XN+KMIJ4pfVo9sIE3loiKa18gDWNQzhvT+Wyedqv1U6cwMTyTPiiy3SiycwUFic7caj8c12Zbgr8iph0m/u7Ew1vogZXj+yzXQSDF1xO5Qt7VEwE0gZLLGYv3ROHUJLJd58nXH3nZdYg6nMDGWZ+XV97IUTmtuc3KtyOcb4xbPbgHUn/QhreiGMadHrU3frUOvZZ4kx9eO3rrXfN99iR7eeGol9UVztlRXmMMx37mjEwpUfYYbAqk9TMBaVfHzmtoa7ac+Vn3B5ZcZWJm4xfJ/FbtjL+Z35as3nKqrVc7GMVY4VaedNkRBKLf2u49lT9QRstXwOtrFa6X3W0H1WqrQv1twRoHrfHy43vcUGZV6wo94RYX9LHMdYiXIjn/9m3GROmd7+c84RFaU/5xyFOPD5wn3V9S0fj/rzpz4c2qH7tEEByPT+WfzkdH1a1B5/6ZMmYB9IxVjrKSNZ41t/05T3c+zlmVTWO5pvOxH2p/4rvseAF4pExX/j++wkVp1Ft7j7r+I72dZ+/D7+g169636S8/QQPko0I17Qp7RP0o0hMdCeSXy27Lu0vI2pBlR9enO3Vv7CUYvNsCmlu3oxM4KX/t9w6G+YNOQWmZfi0z/UheRu9ulNIRUk7vQeTSw5PioljBmhqC+PUY1aYob/DEfdHf1sMhVrRIRvbqL9NT+54lqfnkaUMkYLT4Bg8ebf8DUQQ9Nx811KYUTXt1fC59fffxfBhXDJ2uhXm+m+lPgFs5t0YheL2V0TkFrsnHKGK4VQHGKKtvIYDxOL16F66OwSU8+8MhiKDluQchybrD64oySi4QWd3/Erok+wxdDEb/FGwG+NehJy/YJ+aUQwmjMz3o/vOejPedF2jhfRP+YXvH43Mn036gOUQuDXXMVSv9bbiVqIueGw7EkY/HNuy91qoWwTpkbLcGD3AkfMX3Nd0x0hB3FXMoZTy1AB6AL/3SeCih2h4u8yjYlPa5aA7Dbue/yfiC4Sr5kNLObERLbYAsC97SGYZyxy56HbcF1d3QYeapWsNuqd9M6Vnd66Atgt+UsAJXsCMPO9Qr9v5ppeJkZ+ssJH6Q620vcvfmDmRjv5lPOghaTLTj8FIQOihb31eyUmuFKAbvMrVxI9BpW/SevwXXzFozuIOPrSLyV6RbRBDIFG1emtMYdeBUEuIM6iMsryhXX7F8vUVOnT7gkT4Gk6gJ/LE144hPPGc+m0cT2ZUEeI1bdzzGw1SDQcy9+5O+b1DKwnw301HgO8B7kOWghBVWLw1zMV2UoydN2VYTY/l9Mw6RU+2tej3V4ULc3LRakqLfS+w+ClODh6JQMARLWSlJnQG1PrG7sxJvsOF7fmp1s7/1i2UWnGnA2z+iC6GRUQ6myVNYqSyIaIE28tv6O+bxd26pXstHbt75Dp5EkcZYKj3VxpfBLno2xv3rTMMxngY1eowx1MUFt3+o99vd2YneraMasRlpWN6j/AMFMbTAu+j9hGDlC44CFKdwGgQ4ZjF5JrS4Sp4/LoN46r28JD6C2d1jMfvSld2FcqjKkRdiJOsZtwqcVyQJlkkWpaW6a2ejCl521tKBfOIgRo011XmNUCav2YyKRjR6l6svitohGWfVQ+YasnLboOmS4jnBPKJ/eV5KDZfIOQsoTyDsKBXfV9LSleq9TbwAa9YQcXSPP28tWfkFdxMVOOlUOx1oMSrPuTHBCzXdZg48+KSpfY85jbxEd3vdkFXd5Brtg06PTGcyySdnGnINK583iu8PUIptsPp83i6fDBtCVjk3X41o3ASdJtbGNSYaxGKny+RM0L8kk4x/yPzCkco16A8aD18Qr7QMDKGxeGZ7Nrt0J5AhdTuNDO37b9fjjTI3y4KO6Llwi53pDeOvcmJx/GcB/7KTKVXDgw/Yk+PHWD5uNMSD6brDM8wFz8aizHy/z48+4KdvB2RVR1rvulNYxD7TxNk742VsH4OGFETHXd1m6D+VuPintRvhyro2TZkPJM9Nvqlt0DLAuS2sp/ttWouN6jZP67ple19Dh9iIhCxrUFBw0y7EelPPdijxxL/PIELrsb01Td9hw85i5mUZubE98xRK+c+i5GZvkif7f0On6eEYjEYw8q/F0M9/YpLTelm2xBK2/rsqlhfrJ5DGSsExCWQr2/LfZoTNvHp/OXlhbFPLbyxFkYTQpnSTyMTe1EhnpxSHta/N0svZvNlrUkYAdchU0p9bjVL3IYt18hyqOA7yB76+EiDvoTc7jjOYPYi1HN6hba1oOWRxEXb+byjZEDEt66VepOwuKYm6QkWtu/iK3reO7PtStJq58ajt1CjxeFoJI92WhD+Nitv69FhKpX5glPUMv7wSTEP+PsG7sl0q8xaa2gNkHy4MBeDUD8PdhHwGLCA+b0veT58/VphHAWRPXW1CsyCH97Y/AEfddUSZRyIf7PXKTgy9UFdBHzv94+/KS/OTc5DQr64898JOGroV7ZzXLHv95+vNk5U0lbcTjWn297fKVKyPJBDkX/M+rTxFKZvstFG3iHhjGhIohCoxNHGmqB/XlRaZ3Mo2jqUurmly8grjrJ3JRItZOTYr0RMHo4EOPg1vSV5nBLlWodIHp3gN9PRKh+50OZoqXJ+lu7Ui2GzsaIdvEmi993nIch90jZmC7KWULVNjN1VO6G0vC1z/RYEIs6DsxZQGm1WiKQp1yptBmzGRC/FUw2aWSjVEOGgFjBf/TPYYlSLtmr0OpRfZHyiJ7Pm8Bz7929aAgNqHcHP2U6GNLgup22f4Sd3Xx1HtU3YRS9w4S5w8Cavshej3h1ANFE+xiwd+yOj8EJG72OlbkmGp/0LFeQ5d0ZFbjvb9kuDl47+CpAc38npsq98msNBpBHOgKq2f2YzeMl54JcpP39BMsUhrefu9nbsuspKji5yJ3pSngnSgHfRj5UdgoAJibFDGxuUKBwuSMp3RtRIyQW3Zj3mA1kXDenFvu7MqrkjGFN22lRnLqu1zeAGBqqCD1vK7ClKkRcAIKPSNsNAdmNJB3OeiJBmFW+/6223EPVeLvAGY0UilrEhAuW2NRj+pCtccqHtL3wHlFwv8q7zxsybaoMbYsymKYvz7OgLKhm6EsXmdP84giQWPnZRxAoK2+QJ7uqqfd0jajlcaW5Vn1yiT14EVNfaWrPoWWSVnhTdx2RnCfKraQw6U7yeTYX5ov0+6Ho20gFCJm/KzC17doZVMPqirJpaU95I+6MbsEeKZebDJxahSEioaIVX5/+Nc1124hyhWGqa8OfXrGBfqn3/DHMSgcyEwCdtZoCJB1d6bDXHW5oa16te82bG2CcKejvoHt8tPJiPjMpWocmAlomkr52x3d8vrCYP07pZBv84zxmqKKTbrxpSXUzSMTGVfdR/vbD6rumYQHLgTTb7xyMErs5mGLQ2g191m8/lCPx1jHmlGaDuv+ZzsFrDOtsjuBZ/J+5iOKrZBSOQKXYpn6//JSruPs+Ejo898H8T6ovwQjP+e57Z+y2+3p4wv/i+v+Hn7fd5FDywrdsBoRc9B5pRkGE8xtOg87TA4CbtFigmIEKlB4JsOQXgTE43mWkOsM3UZLCAfLMGLy1RpBuMdzhywl3XguD2qwcOHIFXf5i99f9LMitUOwXZOXSQDzfMKwNLW/CK3iKCqzUmbhpUjGAxZZuHiQjxbBRy1MYjJt3hdca2TaB6xP5JpvMbk8fNlkQzEEQ9mIY+K4tBdk6xPCUP0csAUEFJg5Bd7Dv/DeCAssJhg0+HP0qTHLEdU/hiodtrEJ0x9n6lCtXbhh+JPh3uFCK91D2oRdvzYTNtOdKq4s0h9+D10pMLiO/eta0K2UdY9JD2iQncLdFVRswwrCLIeLS4f5AwM45HrOzfcKeDmNGFkX2o6d83MyYXjQSQI2S4u1NIMy2OT7XNhsR5ZJjO6mMwpqbwqSB1mkMXyaQY49prpNjGJlZW60D9NZHRNOHPe+Lz/jgDdqQFOWki8ZM3p+7OGCrlhUx++JjT21/D1FyGIFAmSI96iRW80jM31SeufVQUZGvksN4gq+jpDf6mRjYD7XcHNJkj8xB3aXRH55XsFk+J/0dNpBMKdQ4PsHKWtqt5JiI+q4FFDkGENL5spxUebWbRzTZlqvSTdpyhxi4ePzq3CwJ4LBNqKWv4KWW+MLaLxVpMo7h11LmnO+6BkTDHB5ircv3bNQq5tYATxa66c85UeozgYA+2B+bzw06lUyT3vpf7aAnYz6pvUZsHMwu/d4Hk0iSH2/m9kM9YfB9vZLtFZLzlRBYPp0v10q/OcR9DLyJsvztbzXUWjc37ravvPmd+yyxOXPHpe2zfuQ/c7Rpxb1bi08XLa+/858fe39z6mwi1JFlfvubaXtfXhtToK2Wv3PK/vepz2OehgiCILqBYP/9yOAr+Vu5pcw6D5PEjgt8grspy/MxTSkrV//yfxH/mJezze8f+ztbqv/2B4ahw/Hf/6jyd1kt/+0PhLhd8r//f/xfFkvRl3TJ/PTa+5EV1EAXRehmZvsjDg9ZSC9kwHr30cE8fl8jrOXzhyZY1Nv72Eu2D+paGXD1sFL/p76ji6q102vwE4d6PR+0Eyz9599l803JP60gtIb1JUq9RSypz/x74v7QK/95Me7RVWuXT9Qw2wzh7Rc9P/in1j6sm/ykYejtuBBKRd17W+SW6E/EpIZd43EhKjnTfqewwB2bcf0U6HXWLAvpV2V1n/TVptaPnzzUF16gt0U7lLLYdeeIS89eFVVq98K7CCN5KNpS8Jthm25sZ68QqmdN/gTz9qEq5rmE1DSOQe9GUMbEdyf2Avqq4mN2Vk3Skp+C4fPfLT7wdF1y1XItSOBFKcZeuZDrPjNL689H1+mJA2XYlT1Z16ZNbULUUBKlj0JouY4XeDPLg0y2R5SoRmhRE1TdOjnFvNT3nTSkxHr7VMv+El1T4x/N8Hy9/biEFUbF42eRLUnjQYZsNL1PvPpUk04IW7L3G2e7H9N7p+E3nZNDapafFh8J3RihtXjxY0DiN3Vv65Vy1KqPPAqhh+p4e2pgCyFTqS16PQWxWM6XR3pbs06rhXwKFkLnNa58m38gP8JR7WBZPJ95ZrXKm1URMcAUVWJ2wXszyULV4juajXLVlAvnbkWpk+8QCYfhZ+PsUjvD4l4aE620bLDJ6YcLMmwvE7vmLvv1GKQok/Imv4cFlpkX9uMn/hyb3c38eY/rl0CYnG1Bc/xytS5mE1MyDizylFNuxh/BqLQ/fsDYot1E8ZPb3CPbjUrczfTq/Tvk0IQW67ixxkPRLv2PlbNqxiLjLFWuRDMz7KNj7s/8JxoPnufWXJG88JUNjChyVT8iDRJJPrN30Vu7lI3pvDQ0IQIt72P+Z+KHkNltSam943Nt7WYb/2/23kTJeR1LE3uVjOsJxzhUyuS+dJfbliiR4iJSXERS7O5QcN8XcSc7KsKv4dfzk5hSZv5/Zt68Nberp8ZV465b8acIgsDBwcH3nQMCBDwIFwOWbGWHN+VuazDiklueiO1u4o9tRA/IlZ4KYoJCkVnLUp1HhwMlVLXP1ucsXdAPeL7G6+yy2Uo6VSV+bDbrwN7p51Aq4Vsyao3TwofSzJRTEmz+Y1sOP+5I+/vechha1vyrLYePxO+3HKLYX33LYQDaEIKBOPJpy+GnVPTbVOzb1J/fAv9S8Kctf0ffbrra/7k/8Et9n/cn/tht9332Lx8FZ+qyq34j65fPglOZ3TSPDYOvvfllB+Jj66G9/H/pmZ+bDu3Hlj3Pr2L3/oVvZ3o9FDpayM57ZG3u3xD/sb/vsefwb41eCblvG/AWWl4ZL2G2dS3B6Xxrem+v1ILIiXNKyJizPrIL0/hjFWdQwYqLz7uj08SprmN+qLYcB+ymLkHnVnLAUL0gG/4Id+ElKPXLc9UC+2Rv4H5wqnsJPdbaCCOb5/6wwXsz5GMHSAxXg1pOD3whPhz0DN73cs5bCdla8jkkqPa63WNytZVtoOFMzNcA1FZk/3gJOUOE1izHrEvOLve+56S0s+31wtiwFtWeWF4fkonwAZgH7PvBbmejxAUhbc2BpC+zd0uCbeKg+BrsjKnnBQArhZEZssgYCWMKZKaTE6b1CoaptrW0DjzikN9IcM7X8E7RkyXsB67bWOft00BGCwTqh/7kbBmwjyjjvKYidKptn9sTRuGBhFl1NSy57gA61sBYZ5XaDBNLXaCg04AZyLpbRAY2ok4ttgRoihxYYu+fkNsBNCVNAA4L1gwY7DKJztGaKE8Ni2YoWewVrOTKgrjNJNEyhVkWztXByAPYXostXJiHqebW6W5rdTAecceYQ1RqGoC5WKxc2YU7rixFUjwZwrHZ6Yc1zVDM4ibwpldzPC+fFurLL8BRD7QxpYdgg58AbryS+QXZ9ggu+uL6dBKDQ6LfBH52NM1BbHncppdpt610dePP4F4zNYS4nZWDjfmmXaQGYifWKTSraewSUj03IA+0F9kAQp1ipwit2oy7hE4tHbvUkKqCkolrGWuXqzLv+sy79FYyM2ioDpezs7/EmTBhE30cpfGKRZx/rrfcVtqya8Z2alo6ifJ1bQEgsF83CBMweuXDKH4DICVM9tQmKlH10Cs5OiI4sRb0aDa1KGVT4oqumTN2dfvLMb1xcyTsQqfLDB6p1sS2T3W4V3XQvfTKpjOiU+LidbC5WRXJn8LNEiaQURZRjbwYVn08P5sXAhBH8xSmjQZ7W+2ahPtL57NsknfC9X5eDcUZwZr1Svc/RI+fAO7vmh5zBNF+RY+vid/TI4b8D6BHGIYhzwO+0OOHVPTbVOzb1I/0+Kng3z7X4ktdf+5MjS8CfMq6tevv833hxM2i518T4dZuFnYrX/etL9zldgtxLpdvO9kXdTZl8YfHkRaN3z4Y8HFExo9DNJz7PvbaX6yp8R8nYyw0Ofz61I2/SbbM9gTfMoA4m/Ah9gcBJiJPyQ3J4VsbpIMKVt3BQwLQLwK69tvYQwV1LdgzDeHeMZUjKSxlfhzM0e3O3XTiCXUfSLbkDIsyYE7in68jqaoJ35P+geZCS2JPfHwJn43K4jvAjnT84Oasfy32JtBKHZozvoyAjXqReknmm5ZlyBuMijKZc8H9zL95bQXoDdzOrAW5u1JeyBiSvPXZ7Xdg7cmGBhKHmhr4/aUxLqU718cjIyFHRK1SXt3bcYw4YGTOVaMnyCyusXM5CdcbAiQdvejBnhhxbrp4J+9R86i3AanpYC8z5P2ggiSDmd1lb0uMcQa7WUO3sHFEjmxAHHa3tG0JMdX1UnM00Z2u4jwhMzzbSRahNuliZpgoI4DfxmWAU1WJkdCBOonp9iCquCd7kXom44ZmHGaSfUwlgcDW5cBjUq5rbiBZATuDHYaxr4O9U9rdwpslIVlqtJWgKiKzk7w5b1Clms2x3RNHcNzFjXHYjEVM0M5aCqvULgwtu7C0ZNFTnVsloV8qfMwOJg051yVE3s9lQl1hpQ70YjfdSrXrxBK7VZudylKRoMjl/ioC4A4C08hI8InYnKlQwBulOPK5gkjgFHhA3U3iIbBufUYMS1i1o1JbKaMiWl/n8zY4DOwsyLKd+Ge/B0NdJTLJTpng0KMnywkFUOauJcCcquGKBuQ2HIhIdsmoYG62FRj8ob0ve5jqbB35Y0LHI1FoAVdE5prfC+0uxTdiAk7yee53NYd4Y2nSZxaomD3KYdM15oqaPp0BSKOotoT3UgzXyOTSh+Aq9MJtH7pNk58DqQ6GtZjFIgFo15s9W9eoZmiRPKAwkNnIjWnBE4YHloFNBDKvMU6mNQUIkR6ACdGSn8+DuQ5SyZCAkurNfSxS6IYynRAlQj0KGktwRqkrU/topP9BYvyAcn/fxLgvR+pXxPhI/J4YceCvSIz/+qe/MXzuknLNQ2rf1aLEK1mXOAyLOXriKFst9a4Xec5H6LqZxwU44rnm2UN8U51eTpQrp4pQYMidrN6UjZ2TMqKc1FkRbpkuWzxkG15lMc9QZZ6SfXIKiFTahSlwLSAcCZ8xP0yvSE1j657abJw9PCiRA9pbfDfguAMq9qiDw+YmXAmYh411uifYDlNUFwpO0a21kefSEjueVHblCaC9VCmd3b7lK+y0nxoEAm6Y26mqdlZbkyQ+jYSla7vsrq3FtAEcubsa1ZsJ//JznIC/c6AgLu7agA8S9peBYrdLfAz9eweI768fDy73uyor7Xs12lL3/5gx86fffEbtnDx+eC13XebN4t8EcfhoVNoOpq8mMoh/KfBzg+8VLMU3zeLt5K+u0dt9yLTh+K4Qt6z8nwU/BmpCtVz4OOzt7lCNP57yFkIKZ+T9qavd5O3rQzca7C73tXt3FTZ+/aHAGOcPm8pGutPbvZ+pOVxD3X0kLforroWd3zuDK5toSQvsPM6m90QjzrLYzu895Od2fFdOsuQb3pIX0Pw/3TJ37aZ9Lvx2yXU/PC2v7jb1z4v72rSdt7T+p8AxB2sYLyMyueSt/VsXL47NNfWnd6P7kVbVpduWi9CBnTX+XZu39578gm6xZpX99+i2BDv/f0K3i81QTRdtiARriW5u27FRqEj1+HBTSInXMoc5XBe2qniSdQNErrpExbkRcJyDUy6/GHh20Mg1w2TJhlRUfMuoJ3DH93yYavING6nnAm+0Stz0vjYtXmBpnhCdCjfP4/amcCW8k+khYUSJQs9cnrUzghWxEYY3fD2E2M2AsyHq6VYxFB66pTpmlS4Y++CFFJ5v0wAeyUSStSKaRYVdX/ugZJ1bkxZbudxtsVoB2POpOnPNn0M35Ht0g38nukGQez9tFnD+Z0C3RU2la7+Pl8oO/dgbH0prXgfPlxY87i4mevtuaN3e797t+72cZdS+5X2MaqGFb/z644PrZbyRGAIiGAEDd+b5VfZffgdG/gba/XloaX4i+K9q/DOA/mdB+d+Pr78B43+6y1dVZd2+967bjpuuje49ddfGIvZDVQuGJdOARoQdjU02DH0wFQAwhW7slnFSPMzdr98a+sOWFoM+1WUfe3eRFsR6M8fzh+Q/3YHW9n6grr1UvijzPrt9N7nXxNc2/cDazy37ibUEQRIYTOIwjn7B2kffIxgGIT+xdhkP7TWzu+I+jD7kAbGlYx7JCxZ2d2MAwVcTzt6A8T6J3tVvF01bx/dW/dsvbte0ZX6X9A2sF0TNm6vtun71kBC4E7H7Vuh7O1IC68zfTWr/Lp78M+a13Lor9VWhG4HbKs7Gwrb3Oav4LnK71POu/UXDd/uOF/Z7wNTrq4pX0vlpiddmEfAf/vmzOf7rb8LFuXnt/GtZ/bj3OesDOT5a+uf+f7f37/qfhH+j/5GPXLv0y2KuTpzFd8r8t1/uA+Taltem8v27TbzS/dKC+1Gq/ecqEAB83HiV+wNw/NsvThdndzmbxxGr954t7j+uX4t/Ve7bzcpeWvqzyrhYzKp79Tp+VeIdUNv4+xv3seR/99CPmoLF7iPXrr3mVYTHrJmdLTa8PPbP//bLmxmpS91+VN6luj/qPRhsSY/atmr+4eXFruLnt8f8/u5I3PM/L8b68in1pQe/JNQLqtXeHW4/GdlS3qvz9QvRTKXnrCeuDXbrgNw6GEycleqc3wXpX32Wf/5l80Pn+3vacu9nCrs4fu+pzN2Jeb84+l5sv1/osT+8/1Zfoe718l//9K/3HugXTysuHnaX+21U3pW5kM5did6jD/5d+FHWoV3E8xsN/nKc9l63YFxZP6l3+l96rnwQ5j+/08l97LRx+8CcHUwQmye6Kzz73r7FSO5zj2p17+2Fqv23b3fu7pOXp9fJyveXg7+DSX6NqQsE3F8NlsObRf42BnyU9hMBPNDhzwDQawnXxdVovxTzZwCDei3sI1V/CHiKsIwi7gtO6GBehbdvcAIBYID4QAeL2hbf+XVa+bXXHqq7wzz41tldtWT230sgQJAEUPhPP7tJeEwoP4FPchfPj+noV8FKAgz2xEfB9mBnE0xM4l8EI2ESRTEYRYg/Ixj0QzDgGSVg+NfSkUvjYBCGUezX0kG/kq7bB/vqo3R0cD4imw0yfZUOITEQJ0EY/11qA55JDEK/k47EsMURA7+RDvkqXbU3Ap/5JF3YCD1vcMdfS4djCImg0J+RDvgh3auH8km2d9r+LBL6VaQ6clwM+SgScxls17zsv/ojS2cCMEbg5O+zM+AZR4lvjG0pBlzsDUCID9Kpr47+0p+n+g6lrv9Vzjfn9YOcH/3ST3I+oItcavnvpLp34eBfCfen/zbnP8jtrUC7aIb7J5kfMXzg+55jL7Hs47n7jZ/4VNYLsbQ/rt8DrrfLV9/37SKLi7T5EM3fMXCB6qys34Lff/sl8sd7KAdtIfgefPmje8cgGEIXs0Xuz9wjLxtySAxAF8Bf/oVdHPNdhCR8YNEm7LgoboOBQyyxIIAFAYT4xALGizIfHX7X0eICL4jZxn7zdH5o8U6K7c/+wAkAupvyXZ7/nHD4zwmH/5xw+P0TDvcVUmHx6pG/FvKqruunWPMBZ2/292bu9wYCge96BIYu5AWhyyBGAtdzYcQmCQ/DYZRwHM+FAnRJWQABhOwv43pf9HFdvlb+ZUCDCPo2oO+Yswnf1pWV8xKz2S/oM/D0X4146ayheRK1JxB4Bv7xaUnAkH98GjHkf3vaVFXmG77Dx+0LCuPPMPb0X/mDdhT+8JTFqf/ELOOu/N+eqKhe4tAXEIWfgft/T6odLBp6f2TvhT/v3bW3AOxrD4LYkgQBMIQt/4IPm/JK9y0iWHADe1qiibZ5HrNm/OVNWw7gOiSIeNCiJB8iXc/2fZ90UMCB3AUvyUVdKI5DjntvPonjX7SltnZ9f7O+8by4WENfNYZg5JvGHgH4tY1z//N94m6C9dKGX90DAPIPr/Z7fY2mHjH7v/0ylHXqlGV6fVg/jmEkvFDs2g58e434oLsmAwBdk2QA4rjreJB/l+rNft791ddBd19E8fNtxvtAvGPja7X3MM4uXP+tpkUk2IGdNYr66BrBSWBt24F3rxPBA9f2MQ9+napZnNwf0Plq8PdA7uOrgCVcutv63dLz9ivFv08vfUfx8FdWeJ0WQwngA/f/YN1HDb0dZ/bPMLmPl6D5jjwLqC8M9oruXvea4GZl8/rL8+8nHLwHA3dwappF897bZVcsHZq+XbxNtS/6unOC/5Oq7+Vf7331MzT+Eau+uyhvAclCHdd3n+V1yDevpvXj8q6/9kPC45kPKPOjzXcE+UlXdx189DyWyt3Xgfta4ge0/ZnyTtjNR1/l5+0f7sqfK+Ntwu7H9Zvf8ksUL/Zwl/E/wpfTGtnLXA6nzYU53MjQa9TJqvVsnEf/irCoA1H+dAu3LLyFRpWTO48mfOUsDiXu0uMVtCasj25XcBh1DBlnOdUT5n4A+1huL+J0Ap511u/PhKyPPNepLrG1KKWQ5WfZNw9kEoeQaPH9oeXlIku69Ro+7xpZISgGMU94oh4Mj00mFnF1XqJ6nx1gtbNj9Nqc4PVsiRJTQO3cTMCwliGV56cTzay3N1+ocy7SgXI0Sc8hnisqJiopdo749hLYp2SwEX2U2m1iaeQWn3cRBwJEcR68K/HLV3N4xKefPFlt6dF7bFzE9zB4odPPA+sesr1P27x2/H0J0v1AjB+28LrwKG6eHmdq5Pa0JLjZEvg+vb/df1o6e93aTdo8/9Gpn17+6V/qfyl+/hLL5cl/eGyBWa4e97rs9Xf7xyz+J+o++p6qslp31dPwxiSOH9zPFLnPAMdFdz+KZBFjf/doX8/r2C7D6/MzD9Ec311I5GkxtiUwX66i5daTvTBx5Ndv+Z7/+LJU+rP6/VjdpyFem7g04mm59O9rjaNywed7zfe/T3G7CPVwJZ+WwCLOnqbH8SRd3ZT1W7XNk/3klYtj4K+b+HWJcr3Ud5e3ePJqO3ws4HorpC1fF3j5zYIh3tNjA9FP0f748q6i+nGEyv9aOE31j590WP0T69675w3psvvCr2xRw6Mj/uFL1j8uXVwW4T/d1fbHl7eLf3i6zyY93UfsU7CQ7+tK6qVZzUMut46de/PvqQsMlm58x+VH+c9va8cejt0DLX7ifPMA0jtOlt1rAGZ3bfmGB4/Z5IWOrsu9u8qudxZcXPVrV2c/QrT7RM4ixeLbPSjoLfV18vAvera8z89f79q67zN6nbF7u/Na1PvUT2WHcfHzpY9f39/7vAaRryPKWcgp/QH0frEYqfthBvTHegAYePVgH9OPIA4txI6BBIKDwJ36f/i217dif8Z8Cxk8xP/BMX9BPHvP8DYHeC8u695c3XveB4y/lvSnH6369YLMT+7yv/7h68v5H874d6/CHlPGj8h0ufe/0I//Lcmvdv/zBgDAFHH35O4UdQeuwvvVzW+D8zdIaxayu5MRiHwTSYIQQJKfCO2fv0af75c3JPpwmYAVRXy4pKxQ+HB54jeXD5c24qcfLtOKGD9cDpa3+XmZEjwufrjkEcf+5csRWV+2r3xZrvtlkdK/fgqS3uznt0Pjx4qKz1j/sJc/vavygzECvxVu2YvfDNuPE8mgX37yzasFLK7qRQ5fLay+O1RfV188Js8fDtnXN5WvTxRdfvfnSQy4zyrki7k+DOZHYYgCubMGb9Lq6+2fTz4mj/8bPlQz5VVUFtNnL4Q9zywoxhz5vCSmF1OJ2KTC2UJEHXNbOhCKmhAJeozYO4YeeAxZWwZyfzDzz1V5SRdzOJOVmma6n6ajlme8pKKPe4Ymqi6jtM5um+nQWKtG1du6eLYPtK2AXGvRCm/o2VkrtpxtepWhsejREDstHyMdpCsNyng1JQ8u097zK7quM06u385GdpQXx+Eyc4Zv0OZyfbLPFX/WdUQF6UbNM0XPielsoL1tWIpQRPtLWkImlMIXgx3PjI5YptKotN4Z2rbTM/okJnShG2Tp7LJ4aUN81KtCOO/vrtnsG+BgM2Tn62TvmUriQGBmwvrkUCzG5hHgHbazFBP9xdwOQg6ilqGAF4gGHJjtLhDZCvBPXQrwtndhJXBhPXaMbHahrHcW5S/1gLYh3/XKSUyVWowFHrMoOkLpXQbQhfTp/b58Hvn7xkNZLyG5KONAfnYY7oYdZZBK25g97ZOalsjhLEScQe0t5IrsoUA5kx2fInfoeTeEH5TSluk9NvhNs4gusFJ5eQb4RpaySRmrWnSzGCX3NO5y0cSKjYd4aSroFmL2uRmKfD7ThZ/Iv6cZ487hsGuM2w548ke/zQ7n4gIUuixhYHguo4x0xNgBrXC9+a4ZD0b88Nares4n/+3VzeN11/sTL1W58MenIO2/ORv6V1tz8N938cCnYOYT9v/ndOR/Tkf+53Tk710R/eogfR0zb17Td2MG/7qO4X/qMUMXh7OthOxewkbtZG9SJpNNSAUOiBXzQjKI89g7UnzkNxBUG1bG25UU5iFu42W+gyazLI4IkR5KDMBqz3aZQ4cV0IxfmAOTqAqzfiZKJu8paQyyjayAN6+dQR4Kn3EWBJGrKKP5OfXnaztegukKhydJSvMCQw6mcjbMvq4CqBvqM3Xm3N3A+PZYnS1qGxib58s+t4ZDQpbDTt3xoEO1Qa4exXN+MGecxhbzwnUnBTB+n/65MYN+P2ag37siGgxcBEBt8uuW87/rMfMaRXwZM++hxXdjhvhr8syroiEnwBDUw7CP2+s+p6LfpmLfpv7YXve14E9b3PD3jXBfK/qUC4S+z/ZlXx2EfJ/ty7Y6GP31pjrFD/zaL9z3+YxT3Jet9pg1edtp9y+/nDTwX355us+zP1an/OEpekwqFdPTfbFc8zQsJTwFi4E8efbUPE6M/ZvcQ+eNrF4d28rO203higVQnKAiOtjqQVAa79AdOC6+8PgRk+uDMcyYd60IXkBz4SoPhAmHtTYzwBx2KqlYOCQl+8QGDFdO7LjrG1+/PY8uf8QJvcK5HPTrjqHHskvC58K3Bs2hQTOnBXKjXTJ28LKdPGxIakgMmOa7a0S79oxPUqW5hCMkpGpYXNnAEu3j5mTHhTaGEtjHkiQDuHjNdBeB+ZvXb0oIU4XzpFm+70rHGLj1CihrKrBtLDxgIkQ880J4UqmbKQk7MzxfPOMsbnydwrrDpSWTyxGZdwJuxTcXo8ydslv8yt5D4cAAhjN4ux5yRegOFjrkaHF00NigrN5HYvDY6B4M5z6CCQ4ms2IeSEpIpn2rpz3KNNdqYxNcFziNQI8HyqP1vid2tZGHOn/WOsFsq9xxrw12uOL4NS1Y6cToO79Ck7KCTt0CruumVl0thFxMR7bIoufhWif1lF7s48GDUB+jZ591a3dGjHowVZQf8gOly7eNafNbe4yUcKOFLudW60vSjHBEAlMIyVI4wq6IkoYsUfL5inYzNlgTbkkUV/cQrk/QCAsNsLfyGeX42AsvAwiQuxbfC6NSarNteMMOZDbTYdAAQpic8XrbLSZAsQUmRxB5ZobgBMMHi+VPFuPxF8pmILoarWjSM4pPActrsDqylNzmGpPNC3+3azIEXKIXXLrZ2XEWA/M84BvZ6UmircoAwk8IK2o6Mo5n36OOJUtjwHQrItUf5IseBH4TjPpNmWV70BFAOuJnaUbwatLwpGQTmwgQWnWmw3q/lqI0SGGSq7KQNqnwOcB6R0416+z2CHjZNjW9Q/XrtgUNZB8kmdW2PLGbS37dDp947vs9cG/TLN8x2SdM+rveBPc66/WVvt6mwr6lL+KvTl8kgTgBHCD2J/r6lIp+m4p9m/qTvr4U/IlK/gv4BxzGnlH0B/F8qfBzbugPIII+g7+RG/tVbgjBn2Hg+9xfSO2/YH8AIfIZAP5SboM+c9vj4yqD3Tzut4udZE9u2bSP3eF2/VS/LdiMiyex7P3c8eu/Sa4zNxzv7UY80bjMpUSdSNe4eeXU7HaiDGcfet108uvYjCeiYViKiCUlkKEdIp35K4FILBZddU2BzLwgjG1TTV7VdMc+FpijiCOat33ub3qxGHXFU95ml0zGJCVMukSssDHReFVPx8AuNoItNdMUhsotuuLHkwE4sXGLrybdFOcjHZqb21QFUj0rU2EXJidxm0pWoD3cNVKGxHraMGcvrNNxRyMWZ0K5GbfAAB2XsiVprco+EqE86raDUJXMdLmBEmseNmFbiNya1c9lSoGg3NpjMENFfRsci9IBRVtvaKHGsL0K5VKZtMd1wusBwNgI2uKs6G/Pm7YaBOzIiylSHwGYwOusZ3ok1yGSn6rz1krWA1TtbZbOobE0BrrcAAR70sbdnjtxvTgEzGmhTRDZKAFFROWhTYsLtAXkG3JEhfJKX3ET6Oetezy0u9N1W8maRhszG0PzmjWADOEOYX68UMEegLiLrwcpog+IIAWSPW9VIT0jtd9dkZmkexd0eH233t1MXfevkrW5iDCnpjMXZXvyDDFzZB35Cj0xRrYTXbGKOvdkCGdWty1Wom/WkHuaZEIpJy/IDIdnBwxyukovxbCnIl8kLl3DY5lMHTghmq361OydEwOPN6yKSYXna+VChwCTX8fjlqaxK8PDZzQ9kHrjaNsmF+1u4+yDE2pjTg6D5ICQdmC1sUMLydQ8nzHzduDHuCHG1tlxUqGVix90BUTgkFGAMFc2MCYUX1/K3/Pxrj9DQJ/w4++bgB7vWb4S0NvLl+8IiPy6d+avQEAkiaOID/qfCehjKvptKvZt6gcC+lzwJ9g/xsUCP08n376/Z/zT95V++ahI5hf+E72YTPr9A194SPD9p4P9fdYvJKTVtjs9HTvP7v5SGoK/0tD9uyR+vsTq0yJHZHuPnFEcRvfVBq/E1NZ272dP/lj5ReM3f5NEdLZdgdpdjgzIUJV/61Qe4q1Sq+AzMjR0iLr9AArUsGV0LrTUVtQAkWYUbN1nJSvJXczprBD7DcXD/b4SKRamCmGeR8eOHOvGTdGzyxiKaBUZdGmZQ364jERGauHzfup3wTW2R7y3yTHonFO4xmY9lS+2zl12HWl2aaq7UMiVMtRCe7k57i2/3vSNwt9OHVDzOxrarm/wRqxFm6gkShJt9P75i0liVMFm4TPcaqR8Zg0t1Xc8F3f2WqfxesAT28wvPlcUBE6gJ7A1qMyhdgQdeOdkfRMn6TQ3UyUIXHbeQ0sANfQSXJ/3MrtN1kkeAwifhvDhkDPnuUN3XnZqItoDtzdBuuSItrloNz8CFXkaDKSP4ISFseHq5dcbNeN0FRgu6NKl717weKFSQ89PrKDuKqxfb3WznWsobw7tlrAEhUVQZeuqfUKM4Yjvt3KTC4rRWoRobXYVtcQJ4tksFIJlOBHHizG8ltBBPlmiB+q2u0EG3cNKzjDtc0YI+6OxW5wJNl3fqmMBXG6zC7sJxcpWg0PYvi6EuOyXoWNmQXs9uzkyRHNR6+cOlvFMvQTqbNT2pqN0xT5DOiLkFAEnPOks7IJvWR7iCoXUGCvnEahUVf1Csy7OWtdecpgEzjiAqdFgEAzWNZVZy3RJCK258OeRbXwULBC00saZyCskONX78sqs1wgirsF04xNptpf16LAHMTdD06t7VSIGsG+iyGRhOqhaeYYdTu0Qy85BSj+16VVpqiEU7do2q3awN6kjW/mNOlM2LF5ndhDcUcuf1VRzbd4U9rs2uaiXC0zvEh4z5d28551wPNzwPYTL2N5Wid/Bbr89T/gJl/6+ye2xauArub0tJfjuEyPAX3NC/U27i6ZgFwehz+T2MRX9NhX7NvUDuX0u+BOdqFPW20uEsbMXxbc/GehzrZ/JqnNj++lYFnU5ff/AF3ajajsOn9TW9zP/+we+cBxn37fPbLu6XTrxLyQ55HeRXFYOv8lxf/uBFz2gm+0lgE4Gr8o4ibEbugzIBuBYoy74G8c1KhdMqIS4cRKZO7ki4YE9pCeWwyRLjEynxTpqYjF5YLuUbsQLKzIstg+r5qqOBvassLcuqeKKIc9gORKp3LVnX37m6guynujZ2jZ4eAgztkES74aViytvuOoegg8OjZ3FajgokHxe39ArpcU1z4BzqB1884D427WAGqQldQKcVgGHFvPJkhV0e45GA7im5E6E4Xq8QMyt5NBT1F7hNrdnggDkK3+9WT0XbW635HgE0lpx3fMVg27XJfq65VZwI06kCMTF7DHK+XrdHfcAQ8Es7nsO5G1uw6YrLxmYdKogaYoNazl7KaZiPJMpiDMzJG12bC7r2HomjetBRBOD7GYah44ZSEs81jslzXgAjHezqG12QzJpOGuEM4Pg6zFKzvwmlc/ykIxTB9Ylj4sXBrzcGD5jtzvQcGBzh5boIcrN7c7PDPqk5s4BhjplM0j53gRlgNhv1gHA9o1q2vlhAgH8yMa2wE/NsNGBidUuQxtH+/I2YPypLyYls0KbjsKgB49MXsJ8aXasU2M1ZkLGZuDGFNjhuzC6aEek2MSnAt4TNBXLfDa1qnLTSIPGCD/eVvTGNxav5JDwR7eUb+NBDxcq3qvhbhyupwwJyS25kGTjxCq0bgxtQ9y02xwdvGuvJqR9rbAcI2AJ0yuLlxUSS2VF3QVRkKaD5A0J6MXa0okeeWgOa6BCdDuK9qYN6U50NdxQUspxh7XE5RIL1VCYdrL4TiOPPKeBUN3UkzsrxS6oWuhKOmxYtEEAm4w/2w03YD5kzwyZX/5j1PYRjv6+qe2xAu4rtb0ti/uW2si/PrUFqOvjAeR+praPqei3qdi3qR+o7XPB30VK9iNS+r7K3xG1fZbmd3HnZ1E/PbKd6oWjmDL357+U2NC/IHqLyvYjsQVl/bTz3b9dZku6jSs1E1EawqFHGdkvbKHa9qZsU2PWjVJ5K/cDm6H6ZsgZ/3IShLDpgBgE2lI5cLMytWsAiWtcW8IKz0RmCNbaG3IwxbkW5b1FPiv0BvVPh515dfQDHTWsrtqd/Hxwh0tp+4rFV0AOJfhe0bupWBODfd62sTDTxrqible8TK5GRvuljMYNJZ4pspMNVFrClfPc4kWeSX2Jb0OrJCD4eDwL65lak53gVqFbKL7tbJpT4AoCwhtx0q5PKLYHG4t2mODWH8k12tRr6bJf6w3EOINl8/rcYrcCVQ8R7rPbMiNIXWjCzXafX0q6Lxc8REF+vREIenY4lrOlRNTEHksvsBkj03qJNyYr7UClxXcIvJOJg2slUystnBIfIPwAeYfS2OJqUF/FaTvsj+qCcYrWweeyhIUQGbf6vG44AnO5vWHxVCXWM7cvzmcY41KYk+d4M4xHn04dQGJiYK2dRbDPbjVrbI9UtVB8Jbuzd8uO7eCht2gigH1lDIUK1lV6ECDTEDq9vrhb/9wcrcMtFLADMZ9Ow84ByVMimjq727Bjtjns/dNFMsgSl0ww2JYKnvhe6G3iYiERFcuEXPK5675T4nMzng15SOkjweambcp4c1EPeo2qEBGfxuKaZJbEXNxjdGJ2oLDEM1fpwM565wfFyIdUBaTBNDs7oBGFPZQl4xZKnS3btyZ0bsU0vRL0TTntl1jNvcgEYkWq0JxL1Kfw2k7OVu9CvXG+ZuUl6JhY2zwfAV5t3G2rUZqZT5aX1e1w1LZJTzkqQs2ow3eYMWX8NmL/YyT2EXn+vknssW77K4m9Leb+jsTAvzqJkT5h4wEKoMSnbyN/SkW/TcW+Tf35beQvBX8ijFNd3nfDPbm/PhXgS82f5yyXX9FvZP3CYo9vf7xZ2rf5v1CYbmed/6vDA+6n6jx2uRhvJwZ8/PjxT/Z6a41qL1pfeOzxEeT/5//6v5unP/r5P41re4ybP74sP/+P19N6XvfNxHn41NTu//4vj478hzi3Q/+lKsJ/dOzGx5A/xPpWUgaAZ8LyfkCQqJ6j/Tlcfvn3s9L2N2pzuaePzS0Wl7/hZn+fhlEQs4O8HiJSJbgdIOJAbJxLxApZOsNSIeN12O59qrp0K4yIpu4Q0+numIo1TRwN30rOjANtBYu67cFdxSSiR3PqwLP2nqJI1ym3gp3EkzN45Muo6ycNr7CKXMFVXuG3ajKEyg78VX84Qy9m1eI33O4KDLRoUTJxBLkEzawFQcFdGsgjq9MLdHqBTyQ395tjgJ643a4nTLI6bqMj7eedFAdtFL6d03SctGHLK+RBIwgc0/IM31nZSQ7yi5rvs5C7HayzbZOdS+IveyndwGMCV8D5fNSZlNyulO1NUW6yczAUuzjlxIiTbnV4Wa1817hg3O21kkWJpsyRp54EGluMTUUvC3UEduzrmU8LYAebjE3ZkZ1x98Rvgdez5aitrIaUMib7xzlQ97yCamxUwQcuWGi8niEVbTbcgdlOb783bMtdtmyLK8lte3ktZr/ZpO7l8P57EwNZuI/hlpFKOpTfyl7qCd3/D+uJjHbIiJVvmJBbcGrgbLcjmWKrvqaGPpms44JohWWY1uByVFvbQOvsulLaaLliULG6IZgQ6iqDfzFv5HxyM0SvwIEV9/CGMoyxOPUwDnmOAXYi3RJGutgNwdCQZxp6C+oLJm5ZcVXmlohsN7GgDitmaHldADFCWhmGmhb+Zn+GG57dT6Wpxu7qxe+XYi3MHY8pxJFsYwq4QL4EQFOdkNMhmVm8ndB0BjGSSc5aHuCkVGjI4ZIADVOqm3h7Drmjtzpe9nwYninjfIBx5GJaqG+l3iFCoDFf/JcEqonoUI3ZtE92LbX0QafuA03bQVv+dsBQTjw13Wq1mtB5b+v7YstbcbETfK1wHWIVnIiVlJQ4Q8Ur5xg5UfBSTKgaewpPwjiJeP7kLC5vEuuHzqKEGxDcaPUABj1b5tMkxmDg1eegZ5ThJExEm4gqqrP0qlUFPmAdvSRJARK2smyEwybulYRUKLiQ+S1fSWe0VoYujWwlS6W9Z5C9gJFV7m1QIOBpKMyBPdCZSsJN2JmjoZs5Y5MApttmc7NaqGu7Xsb3AkevUN48aEjA4e7lRmi8KuCmQeGsitQ8TPXH3IrnHKEBnWLZcMNG0D4+Kx5Hb3IgRiiSOuIcKdAxrUk0ojsSW4f14sklR7XlaWpxmtsDT3Ixh3AuZ4R2qqIMSh0U58AYpZqodQ3TkKy+wDEiOogCE/Ytmc9nKt7Jq83Sc5tM770xoEtgOt4IxYx7np45XZkFEQnHja0GDbxhTBEoY6B58ReC7zXIPU8FFS6WrLsr5PYivfSxbwZJCG5n37S9ZVR4nrwKX6zzXs5Wfh7fT7NeBcGZufm55SiYluXO5QX3ERhYRpCy9Bg8zHC1ckj3Vu277oZ2wgm0Jsk9H9ue1fdEHU5bepOGQFxAfA7Z1IW24oNqdadYISmea/c70AEiV3oZSw8s00U4abdKS3IYnRUCQqqIpeF551DqTnV8IsISF94U+r6LozKIj82MKV7QmH2OQhvJZlwynTC+IuVJQNkMgFptPFW3riBVXze1wDiAVQbs6SjdlAnA9q7vGauzTEOKUHRaN83Y4u23eEpwGlwK8P6lUMSSPL04NHxY4QayFX0IaW1V6aVgrIgVK8rBvnUCwgpaHWinNnjpuheYsht0e4T488tKuHiOwNvHC3b0tNVFtrf7rSJUdHGmdSg1wjqNBJu4+ZBlkdlq6PslVo2EFxDMugTHOuGMjyspomPfogWwT6AKnYW+gaFpGMm9PSEck1gqJK6YPvOwWANzVVOHxnwRsnnVv4RGcKLhqq4dzwDlHA73eylDairlXs8HlcOS4jcq3w6pEr5h/0ZOljF1uBAgd17A9PW85PN2u61oFVHl4e3cY4lVZF5LGvuSvp5FSG1CttywN5hSjHd+2W5OG571drORbeTt25mF8v5MpUsosLDP/i1fdLjwHLsb7J2NZXxNBsKqB1c9XSn7H/i9ofIFwtxd2HAODbz4N9mcLpUkD9H7/T0TMxvx5M3mMjqGtzMK99t2U0aAc1HST/kWW9/R3hTJb3wsynm4T0wlDZkf3GlcWFYURJfSzfc2ygxAJZcbgB/deiQdQ+8gPl3U+so9VGgPsr1fFTHXW7gPN0kbk35/TCDyxTvkxKnHpTntTzCgKx2hY6ZS9C7eXdAWRCeaTNnXOuhhqSMB0sk7KTd4UPRk9fJSzChZjIR5gBaP4CXwR1g1yQWzcy4VGiBC/MNlUm9AnpxWaGE0F9jRLJl55UzO40SKVQ8v06QG1tTUvGAtUMg2sdAeGrK3oLbGVqe0jF/wFd6h3cJzkKh4VWYryEuQjTcDNlZaha0cxfcizdq96dbdlNBCyL2a3S7uYTsdYxty+VGsTFR+eTntdg4jJuwYtMeOhmx1GZa41Eod2W2pEV3V1tghhfquu/iuOyM9AGUBFloLN+kS+nc60U2aSo+umQfj+G5X4pA39Q3NidxFmUivdGx/2I3YUfGUowd2GBU1r30thXZ4tvbGzY5NX2vKLi80lDSUVph2dCep6krS7bd+YJd+GD/0w+HeDzGgHKvCgjzUJodCDwSPPBbcpId1YUZCKwESOY4OULzAsOmjCOdne6UXfbtwJtTtZ7Ng8InjH0a6obZ1xJUKL9PVEsB6JrpakIvxhmS4pStUzkduM7zZKB0Bi245kpo3E+9dRn+V3U/i9c+btzG5cN+ZqhWzVDY0d/hhn/RxGeN5PnFs/+4/lZS9jVWWZDZTxwWkX6MBuHqBbMXYS28+1f0sTyZkX8eXqOdYUJisgEpnkz5ebHX/7nvJFBVsvIOL8CBHbd7ODy4jblPxp7hKNj/GvbSh91I16PyPZzmFcke6YvwR2GdnNXq3TVbON9IWo9gWg2uhqcZpJbTJ5LKZDnpm+SJ2jLePd+QL9PLuSsUxR9ZT4IywIwWyqZzf+ot1WWWrV8aldbZ0CQH95mQE+Ez07ARDuwSTwpKYgzQVtJXU4qsqgm0CxlDPGHCUOgK0/NoeNJXDW5rgl2w6WokLibUAkoGp2Jf85sEe3OAG2GqTpQjjw5eJUZxG23y2sHquw8EMjX4iGbgAaeJMvfXnQWVl3VbpG9mNU/WiZjGQ6KBlEA2AKNyWBEybwipCY9C0y0BoEqXAo4U008gVJM8odZ5e9XjZI/uy7AAb89kFJiciD3c7zSNx7VieKrejej+OTxo9ns/LcHk7GFrciptbtwyXgliCAzR2lLN+s8F2QSgCyjoQoSbYXl3w2gKE+fL6jLBjtzzPt3v1JUc7Z+WIeWxfTrsQZ4oENE+ObxAvggrZ4iF5EVgDRDoAxWEJ6yRc5ZbIzDjc+WXDHmh2u3SKpLdYJWkpOh1XyMiPJ6HBmRGAe6JRcaw4JchqXqy77qujCos+Fm+zzoRuomMLgG2e929ngZ/jJSS0ZTpPxpdTApB9cLb0qJCX8QOdS/ok/YgTeI3ay6Z9BuFsBzlgG2v0WxmPttFlC5TNMaur3bsdY3c7lhp13CJvXFhyLyLx0g9YTpDmwRn8Aj9XlLK7RUWNEyC5ogz8NAFBsLXPC2jIyTECtqPvK1xrbgTFhYqqNTK2FUA/VJW68Xvds1mP77CQqDbl7rL4AiU0lObpB/9BWfTKf/BqWGyPlC8hcCtgd9fbEfpCY4O3lyK8bqtL+hiuaVe3sEZi1Tbg4gw1xiU6MMvRP9gjuJJgRlsJ4zgpyRKB16opWk7l0HGKnuaXk0gqJY+O9G30dygmgBAjGPS8Wn6sHpztqEDVpYnAtNPU86770lXxS1MFTQGmrktWqv/idK3JC1JAzu0uhzxbyg5L3YKNeiRfMTBi1BOhYGbcQGCl6hzTGSnTdDQKQ1btX+LeOUeOibe2T85dnOSAI6HatkEgMs0wj1h82eBSsSN08sCKj+NC09EoownFVoSkLDpoK3rTnplX+VGlmWBzQI0Cosvdwvc8nwEAcNZt91D23bmGphdbuxxNj7CmM1k6zNijbWUveEMCmuhFBDtyHd5miBGMqwh705dO01B6kBsF880UhRGQf1n84iPRSLq6kCgmVk6wktUlFi+6kdlxaNu7s22oLzUbnRDDmVfK3Ucy0EX1R82W9/HiXrYORBYwPM+zH2bNbaFehSmQVoEgLS2gZuWf3D5VtFOgNyqB9TO2KmqfJsvKEwmo3R97IUam1aUd+5ODSsSBfjk5HU3QlWqFeXjxg5eodpvjCTaJFw3Jgy3ElEV28hYwIKwt2SLGCWoSAxrBPAM9zdBORKPoS7gUF9XszuICsI0DLoETe3IsC12JyuHBfwBc5rCA1NOJ7vIBafokLxZfY3eD6CoUIXAXiUcAcbSJQwWDxHw9d7CUGZrYVjvUk6Y4rlWCPViTWwmai5LKpODa6qXHV2YBU5ZFaDBIBNx4ioMusIPi1O7MopKRaXEmEJ9Lgj09euYFXh0srsjxxk8NdMZxtXcyZ4s5fGBYmeWPK6WtOGGcsJu6aaC9r2kAeVoghhIMvrmDxCGAM6HeiNtsCE7gAYrjwIks+HZ7CFzGae2OaoM0HRDdNvuYwWPaS9pVVNXyccvWcHlSVvASOllLtyyPIKkiLv7UzsD1BVLseruDoKNHbXfV+cin+0FAcg851ccZ4NSDqud2BS1/BX9UMIC6z0EMR7B1uWA8wnNmWP1N3TNp3ZBas5dSg7xFILunlh+xJdiIGtyc/kA1c3DOF79Lt+xiwZNNi4O7UmZFtsWPg6EP6QsA+1Jm5Stur9lTPIASoGKRBt4OcihjigVZZbe4Ii+VRAS8RhMqm4NZVpUe28LUoT5LWzYCqLmbx8X1nV9U7wIZuTDkSptwwryU4OTMyQhdShFudOEVMd/RxarBxmMrmdE+cnJbz0WQSbfIadtqKgKu2uzFRF+sHDIzV5Nm4mW2ztsiKxYN6+lhk8rYXvZZcDMT2ubFntIx2Mdca1m2Xbz5/Y7nqKTd7oIqT1G6DJtbTkMop4JdZ7ROQroT9oJktuG26AlFL+fWmmEMm8Uz2foqXNcyu2UNKILB4fKyBBDkR/10WKLB9kEIjjXDEGfQJnTDK+XKqano5JPwZQs7XARvpWgTAukSfxWJb+qo1rntyqoBqLZwy9JW8zHtReFWsROGahnqm3syaOv0lsC6PQl6qxvRzEjRFvADCnB5NAFW5rYh3spwcONjGdQ8cWl3LnMCMwic88nFNXdqzKvkU0eWJASBAd9W7mSquNL6Q3Awax/X+rZq8rZNASwsziF2EkLIUF4yyfRQl5knGM17zW5f2iw74cdJJYCuS0M8XIbHRPTCZWzLlXg6KR7FekJRB4E5Qi/pyVQQ4gKuLve/3WosqOmkvoAI30/a6mjW4E3YJ2J9YpiELxLJzYEYvcGLgzHfTiFSqdAMKUqFN6/Y5R3d3fxCilqCIkHXo1AWrF4m7yL0AdwDsUQBnDNKMmPNsvxiHZyVtC1WGT661dEkeTHyzNOqfiF4J2EL8gXhtbjlDLqxqgsm5tC8eDr2ZL1kMVWrx2XkdE5uaZAuiAdwcHc7LHhJG+wlQboDV6tFZgjGiqZBwr37L6xnjK27kVrn4PvmBR3CLJOwFlBELuJod7VKkAa58GmTYQ7Y2daLPe9SR7Vyx9CY2hb4lp0KE1wwjoWnYHVUQ4WwDD3Dxb4qi51ArG71DeuUPiCPxt3PKbaQt7DIjokaZoUJp0P/sNNxdYtw0TG3qMh7HRmNfOsZ+wIxlLA4ocYbtnYzQu1U2U0cP4ex7ELcgEwY4tHtm/akAUjW+0LDRwU20Z7sUKjGPuy332OQNiLjrY9BThgaLGed2Bjexu7Bgi5twzALZPKtfSH33cU/RONN40TO3g7cXsoWPZFcVHNFt+vEc+bWjQVoquxTXMUeh9SO2A1Hdz2wumwJwhBl4I5HzGO8UUKFHadmq1kNuKrYrmOgdrZwDNhuuC3Uq+OhOoqXeSENjirFMAEM+igeZwrn2WKIF14mCbvMWZJW9i6w2qisB97/GcuiwqOGeqnLk16wlcm1K2gJN26TCywIyYpDBCtZXhy3mybhiGy/1W0LL45BddkcV11m51YuONvojpMXd3HrtikheFoM3eRhv5ifX624hRwbC4mAsxRMSBbKXMTqlLu0+jiQi8OxHcSBKTEaJXbq4g7LVnCzC6bqLMglbY8B7dzPcJRwqPk42pejCCkiK25wK3Vg/Yahql1dkCQfL+JWukDMBtSYTTIcYbgYISsn66NhWu3CD7V/UwtVMIS8hYGOjYE6tqCgQFatkDttutXaeo+J6jGYt/0pZOwVfwZ6asYucVedQzGR5gLXWZefj6QA7VS6sxKv4JQon7a16zatkdbHcxsNCQx4tFLUzlEyQScAMgU38xe50Btr4FNuK9XnBQO0wGRxcxZDyCf4FGkpbeXEYayAsWQzmlgDvlU3wBkWG0ZZAtCBkcAI7HqwKbAXBzIMCDy3xJQJkY8vjoDvOJasowyZYB4nWFByWsGF2diAeAHYu38lAhUowp29vewcep5k82U/nY7aZW7QFajeifGkki4kKZtaitXN6jCArKuSfr/rswyoJmR70xqp0BdkzmrYQFCBCKQ5RTOv7DDdNpgEaGvPKGNbbtscAVFW2OggEuoL7x5e+5KQMXsnOX5DHfeGUoc31Zpw9VxTO6QjY05rw1XQ5av2FNb10jtR4zAvhQ9AbIK5iuTCaG1Pbd/P1gmeHXaDTNwlJPZjXt9tKuwEa4WWTLA17TCbBugIKDYMLMDHdbUq9JTlb20zQ3zH3kVb0edKZmqau0MpdxPEhHR7vhEXpAdGV6e5YmUPeMWt8i7oR9GdmZc+iBi3jasoX9zUmgQuluysNP8MAHgL4wAqHKsgILQjSbbJsT7gRrWwxZTOi5JcwzFU6B1b82PvwDYWa+WcaQaBwgcFPjuqpx7bEAU0Iw7s2SKIaQ6KJXY23BS+8LDjg8MGA2MTgg/ZrTdWmS3yC5QtHhVwmGAnnnpq8Ua1PQG+2qlZQrU8Af8vde+1KzuWbIv9yoFeqTr0DpAE0JskkzbpIKBA703Sk18vrl1V3V339pGBJEB62TsXMznpIkaMwZgREyyM5vN53eaF2Kc3CRn4vtOHpD4y3GNydSopg5+VogDPMzOLBt1tBIchwnF2c879NRWGZr/r3swpdB+JFQ7FB05O43bNSdC+t+PrOSdFLiic15GCkCTptw4ukVKhn829XK3nnJXoTLclr4XWgRHXzGUkzAbUHxEUXPuD6NI6kDdpwTjxMR6uPODNxecz3o9ryZdJT2j2qNwSdEjTKLvIG3ejRqQb/V7OBJfSGxr6qnvU1XTWimg+hF5ufKcblY5rMNpMULgasqiCbXrpg3UX/HO5R7gNHEpuQpM1pa+h+S0i4300RooLwJqT8f73zX8jSHprbf8pJ/D96OZH6ntcVxXaNkThYH/tZksnfBTKoPKHrnKTm7p1weinIuwUEMNG1qUT6YF8ajkEgfrkpg4p/m1jD8Mo37xlsnpy9Q2nkX7WRzV66XgzmZn8cErQ+XlmxXM+PrqA7fSAXNi3CupZQ/gvx4OV0JQEBI7hTU2YC8Jz4QeTwjhtQ9n72uKobm10LQD/ecmmP80yfeuX7vDfkUDbvvmUsmF9VaIyFDOo45h+2FxmpuzXqPyA03HXq8R1N38w97nRB4Ru9T94X3mQqiXNHzTF2zm8Pmj0HtZjMd4hJ5EPTM8m0UftLzsAnvhWy4414txojnJYEjl+lldu5VW43Vt2uCayZkMn4VtZE0v7sWYdlCIRhMiYm3EtmwWZad6JzY+K7LzeDm+SguxMkUjToByFR9lPgjHEnPbWver13PVxSD4QXiKK/y5XwV9peIn66Im/NHR+b5+tevSBU8DiXTQfUl7H4HaK3ppvvZNmSLvJFfGP2h3YRe8JnDTbkLjd6njKNUP7EsWgrm/d9FXHkc7V73wBTFQpuGJMKKuDMRwnWOQafMxrX6w3CGCvQqkFEuHtcHO3t7pf4C40V2/DPN7v2R3AYvaXzId8fHnEO1fO3qNjR4lVzBGa2AEhGbgB4D5gnYfyXN7xk8Mzyw/Yw0urJQ/xeCAZHb+O9eDdRsAtbMd+Inr4wxxmGYX33YqAFVpLRSmB/B0Pj6BKH51EO1MjhkS4vyLokRacLZdPDIZq4g+9QRZXf+t3i9JAsoZuNmbX2ZNgbGSXNtLT5RPo2oSXoJkbiIyqR6/DTK6uxH4iViUVnkPZSDCsJYOy+8tHwDnrmD9C+rgQhvIAv8UthKrwWMF/qvPPnK3nQzQMvFz10BxqR+mJebzua9wjsc0B8O0i60tZ5NpWRSCeLfVNcXkgiRjlrwPMips2AHpvySOIH7BexfT9/VYm/Gh6Jz0pegdZJ4Un5Xg35jnTLI/O4oiRwnibj70a4Ak6hxj10rpP6CvvIeTyz780/glDwBGp+Uzm6GoyE8JH/L2RG4lkc+yvWD/Nu7bRBRjpApH56zmowrsNLMuotemBrsnmmwdTHqkdxJGf8aIXKSPrR4/s+3lPeNoJgm/4pswlXbBHKoWSsLSPfKAKbue6rYioLsFGKDftYXXIR/g3F078cAoq8JbZwj5hlZEKU08fpI3/4Sec6VhR+kKhPgiV8eG3gTm0PgU67UulT/GIQgUAnqC0WjqI9wg+3x8svxdNo1ToXUubN9DeE4aH/tEHW0xmAfrw9HcoSUnKMwnOvGl1QvXb0DLFL7/+6+elouZCBlDXKhZTtI22u7U925MyThMeY3uhaUtiSIWbnr1przode4/6Ntch2ZPbmUgWPzEjDfKHzv0satTV/GH3OdPq7FsalBQ5IoQKEeoh+3xjg87FxrT5pZwBQ7yjiZ0d09ZBlJv7nbB6yL0Uc+iTcLlznfTTiVexAwK36gfDJtnuE5adYoCWl1knVs87bh3mJsW09AzJ7o2JAHpeqBF+Q3ogZmZGTeS2Pkgw/oFH+v6P+/yA5MjK0yisiyYKr1upW7qActh62fBmPOH/oASjTuDH346Gb6KGV1i0Jg0cSayPRVxGMHRXg2BSt73C9yDwY00ElnTTTTDtD11QxFkHmjqcvwnhE/NIO2d9Q1ZvbPEhMFZhzw4v70j14Pusb5xAo6Ywl8hsE8VP7DKjl29/ZuOmgHuIoCy+qTaxM5LiXf4hymXN41jfyybacMhAfI5cV3USy369T4Gm/uzjR5idc7rM1yDLxYay7UoBrbFeWgQWO7qQSjahZ2JiKLIzQNl8Ua+Ok8iP0PjVNO4T/nHjUrJKISdy+OO6oinbE0XZtG9MRveemT4k6l5P2YqdgONYa0l8ZVJ1kj655gltEnQVy04jaHvECOJrgJpHuLAM8TOXZ11x5tFUbEdX4Vg54e0gTldCq1ZTu4OnQpfRLQF91WVZhb5DjmtCvCBht013gMUVHg4wntMtaZUvS7fPWTz46Mp7REtUd2NnCI3oBVphvOAgilGPCwpf7kI+sedI9JIYbuLPE+QVq7QiH5B4ItYXf2x4Y6dvbirVItwci9gZ/wcGQuhx9zoHS4F96hlEI0C3DUSqB6yC1zerdcYhSKpkyKcXa8cDoOORKiOs6DSUZV8UexymEufMnQK20elMQWo6HVpx/6GxNpTJK9Q8DyjbSeNhchG67XONXYZtpvdN0e+ixJVi33FiKHL0zh5vKYYdrQEOepgFuYPHZChAgYLlZLygLvTPHlzjLwRMJA2QWfwZemrfal03zWO9eZrUP73iw8AQfh8wilTN9ODM08H6lk8T+eP9le/GBOhfxUzvVwDq9ldr7xR9JxK8JoGdK+WFZqSt+aynXvd7zj08K2RRz2li/7BogjTME7hZ0lnQtCudHn6psiH906dtvnx8eqlu09UL5udls3j46qxCuz9bKBFNhhNjK/QoL6InRX0OCLfLgbnBgDe1PTaxv4BtbpMebN7rHfTTQQ9R7z58NdjW2NfJNfFzV87l1n8CORa6D5/ptWspHkQeKrFFe9sTt3pShrlTHkZ5tWszEf4wSTQpklODXF4U0hecv9pHiyD5+XAi2UX/gaM6wri4JU17BuUF7n/tgYK9STEoMgBUVXj5IrUR2WI93BGmfMD9LFFbQb2YW7CNHcSglbN+wEisnbMhCnl/hA5He5qUIe112B8s6/EumiTBxyVcqNw8pDS9zKjO2c5OmHSTKHxiCsvtQRJBcSuGYJmCVSLF2Drn8p3b6PTXm39cDa/p28E8haBlOZoSzmKYG5ROAWOBhsb0xAC5O+/LoRgVmCBzkoB92KBDbE2IPbTCmzUKloRIRhMLi81k33ew+tGCWw9TNSsUptyHh0VYdlxIrCjFuCANdM4mHrPINoaF0f1g9Y+vwyPF++xDZfjq2Z3jpT/jHDBIJSyovtAsoHnSSY+uku/kNh++GhKKn8Gvnzl/z/gQluor916+P2SvazloipwHpeOvT+/WTUkorX58GAf21rB04UO+mfT1S/8zUcPyEytOD68G+fGMPA69X3nRIe9Hlm5usYybKiBAUAZ03lVJhtJUsTtcaeZ08FXw1bUt97aF1PSQv52PLoXVBuFZ0OFGoOXka0HqpPMmK0xK4jWwvBQrb+65TmOXS2/xyXmBijOdndzptx81Du0Bccb2Lz72TgIYyvBtRS7VmP1BzUbURmNTRhMp5sab0VgoM8SHzlvxx4rbLDYZ/OMra9SV3Z06q/L9ikEte1urXdim74MrMxQIuh8MyGVyBrIpAHdq8DkSpUlaacHkbFGnPPdrx6wDOlUy8w19IPrq+Fxv/kGJ6odHBQEU3UO/PRHO1sEHrlY8M45YMX6ywvm9uoLMWyPDsBblfGzW03x4iRuUXBFyBB4RPJcj8O7vCB/6XdmFwMZ9/9iXD7vVR8c6O5HzUnopk9K3dezCGMWF1eefvAoq3IdXiWOBdGjQkKbR/HBK79vw19zNBYeHnwukPudf72li4hXGClkSxsD97f67gtanI2C4g3qTg/lVj2M7aWHj/Fe3m/LD2HAd+H4fPQvh2O4S9pz0C2S+2+woO7njfEHSoee+50T6a/4jLSMvDc5/JS3ByR51mxt7Th3MAqG/Se+BgQp3Ls9+AAYzSlKQ/vATwrPFvCnTriNLBzRz9rPVqG7yFoiOC8D4nEIADPLnsT64N702Dtd6bZXJ0El17shkVKHOsmrL5meeW1HdzNEyzJGJfHkOuiB1gjTJfnM8OMWUpfHQG13Ro59YpNAakVqMxjyy1j6o99/8omerxzkfu5X/ZreMc+gsy6Sm6/zN9kvFZxnl1VRHePec7NS8Vc829XyAWzWRbwp8Lz/vBOym7zsL4UaANntd0NtP3Ar+QBsyr1lNIrW8j+FJdeMUPmrPx++UDDRvHkmGOOP+IunhykwpZ0Jp9B9l+7G11DmYs/85XvNp5hMTzpqYOnPzKVnTeC/z/C5Q87Wzlj/zGP8XfDhL4D0CQLM5n4DGqN7sJ9wareGn8+Egz/ThZdPgUBQmRGRmOUx+doFag0I7m60taC8780bDEhq+0M89f9/JKus0dWMXMJBWgvMghinvBIAq7Yy/AmpABfmx/XVGPkTwUuefeRf7i5omGAVgUfOzkSq8ncYfNnrkTHQv365in2esnghXkg/HJOPhtSobpYqz+uAJldbRABSE9LpXRY3VjDjt4iES9evRQuhJvX+IhP4QCZoY9hi+aUpd931FHfBadeVLq486kguoADv3Kw4IdS4gG+ewqjjRUM0PMQ+FjY928MWr1D81lm1GGvK62r1G4D0BMnthahSBNsJ9ORE5k9np/dL7ALWrRXHsCBPHZALzrKaf3RPXErd1xLAg6wl7RcPU7YLnt5EzEemjUfyHbkh0wIpIgGf057O9HC8OWPxF3hj2xOn9DWLGnMCLACDnd4AzSZCWU2DRAcFSy31YRU8o75loHh5ii3M+NRhupIOW4bRdP4g/wae4GB/MbEhjopzZXE1n4ADAjImTz2dYcmwuNS3rJxba6jRAm8K/kkMx7tzuRu2ReOZE5IPwJs+MjRcAyRTTxtauzPkRONbH5I3H3jvBbygD1l7WyywOSmN9eVzHxuDH/ID/+E0+GHVhlzpb0eh7nulEBXaCKtjk8dYPe9DvqmSb9+PbouHFjnwg8sQm+J9zAmM6iMNCmrnQLnm2/yQPj6WO8mwfH6kfE1E9y1Ue/wTRqH+xDx6dz5f/9KFDWHjGsmQegv7mowonlhbHjVgq6XhZQWMJKV/oIQQ/CPJzTuxf5yRNZtBYr0H8mQb9RPKbQs6f/LlkxLH3RywH/m0sx120a0VkidTuUWqlkyQKQNNkHvSdun/hZP4cTryAZJ/l5yNBDKg+nvOEo7+d569L9rn+vdPOaAesduqT/uBAia3ziqz/xxgQ2auXQ85tT5LHqfm7FQk0lBf+kYr2++cQv+4X+q4hinrMkbrGDWHVwyeDNlGymYhVWk8keybWyb9fSmZ2f+mKZ/yjNHiGlCkBeT/PrLRIo/QyoUczKOyT4+FSX+j4BLGdualTdVMe/NAg++uo3BfdboEr1SO9e1ZUBagzd2ZqGewnywhRxoT10LhgaACfaSSrAxBhgNHvR9qaKErRLrjHOPAcF0QRsspwZFOQMdKv1sUPGwQC8/ADGtST5/9hdRyhj7D4lpie1UokAa/yKsQlCz5we4Oa4PpOVw/ff2gAzw7+nBt1gTjVQrtC+TD2fZE/bonuFjE1MSZkcWsIAjR/adQ6SrpXGIVSkupi7cNmRchO5FPGfuXwfuour3TIi2HTrxlP9nkkpFL/jg1agOQ9ADcG8HUhTMUf7z4m1yiIeDUcGjb4hdSBNIIfsi1cApaPzC/bR1Ni8gn8DSYf/I1Lfrl595c2XYia9rFAX274XYjbJ9Hsh+/iYMg8Pv5wVbGiMWC3J0r3fvJz+re5Kluv5QpL4RRuqfSwZRRJ//SvJw7v08kwPy5ky/xf/vynz4eS8ARhfhxTQY9+/OeJwwSVstpfLqQ+QVh9/IdfBmg0WUwcYzT/I1c0n5T4jGr/OCYiMf/kBErBh/kjHoc/50ANyDDZVLyolcT8GPPWIOT9J8d+pV+o81i9fq0ymPXhKJcEL3P/Z2I8JI0aUuBOV3Urgj37yYvwN84wu844l9Q3oYGcXb5/4Jn4t+tf3yr34KT7sNdgOwWlmTDsljjph/vXmg3IUp1V8ZHtMwA2UAXSMpq/8THp5njLwlUhLuq5oZIu4Svy8GRsqDpYvG5azSS98q/oFSzjRZNK/rjEbduOAqeSe0PUDz4cfj9gMrsSX/B9jxvEALzgzzFt8hQoI3D1SnM6B/PrB6jy3p59w/zkQ/nXc73R+ME6eNqp3FVb4L6o+XXW5p/x9MD+mmvbl1ngwZ8b0IRimOYnIqAUUE9TNnG3Tevz6+qOJoJ2ObT0P+aDb61LqKfi4AWh3WC2BcbQ/UweA2hiZf+ca/7QbeJlKxzuIFpvXXNqYvKfczW31iiXS8sGh+gn+4857cvr1zx3kXSHL2/9Mf/yst/MpJp7WI3Kn/MDtZ8ap2B18pHG/pgXqDIU87EI4Bmr/N8dywhf7xd/5GzMmTaxx3dBXqlZHtE/5sQirc3Y8ojJauTH+UDAjgS6ona9G1/aejtKY3D5kT2kyR8fBZa6dvNCHJ/71zIHqckEAN//zHcdr4AaGpgU59tqAi5wvSU3g+kznrEWArO/PyNxBPAzXzvytEdpUFUs1UPQrktwaHmxPiFkNoxj+YHkGNib04uyDHdmMkkyCdK/22hO856Q3+EFjF24yzeud4AWMJELBMD6kYuJGQaMMsTxc36Gt6mBCL0nr0n0s/XNqXjeZSFgNqhRCBV9b9TgiZHwsbMJXgdG2wuRnzRjcRDTmhiBbT1yxAoVwcOl1pw+JfQqe6CIUtbpugy8SFtMaohH2dACvqLIUGCS0jhX0ffqJ7AfpXSI3rsD8G0e4zWjxcvF9hOWAeKISqBAkoTEIjtL/EeKIxvi2ZMIZ0VGX7vyXdA32Xl5Tqqr2t2KMwxsUQg24BwU7It6kAyH7JDMXkQ7fWXO4sYBJZ0kgKAspidLxJ1NjLeRPcMYPJ2ue6MbdKwMZREe63D4a3Nfrmj4gSUqqXeCYWOP/XEBZIxan1qZgoutbS8DVsN+P2YgAw1GbtxDfKN+t0W/xwm1hQdtLEnPS1w+SsRvjl1CIKSVFqSKPr+bsdLgYvicXAi1exIZkeRL1gxO3zrEZxRFl/2hiJEU5+7zZOFR0ybQKZDBztQtUM3zVqkzU0AK1YK5MFCIli2IHWdwD5pTWfcCpSj/yFKLsB0K8XdeVSV/Q5XAdhdXcmoQ3OcZcvU7gN00JW1xyzYo2/S2LeJB3SHWSkcHikItKAmccb6vzKihaQ7yJBFcfnhh59UDNesMGeKVhXljVAzLXE5Q+FuCHW3G+LF1u017NwOfP4L6be77soBntNq06JxA++5XN+shP0L41I1VsLAT+p6lT3/WuNch1mcvbPd1zoIqGbY7OUZk9Bv0wa4Ol1LPd8sPl/oGKf08D2yDpKat3rU46ZIDTJYpcvSRssUBXt+2Jl6XtiZd00oJTg6GSvGqkGfAA7K0BjSCcjp7vMPO92f6vQI9VKZ76IdJvL3m5WTMg+fepoW2I1oiC5+0BIBgEH6IsHIvWIDVPJLfBsYBuV6Ad4O0HfexW2uzmehV0LPPR5HXJhaYa+WEcrgIbWqTzo8JCdOIqk5tEtDaQBTyvjP5g6EPz3wFQbi1YJG8dhBW/FprnMzMTjvNFZhCGjsL1Ey5xot1QZkkres9TfOSkHf46oX40cWwj3JgMhARDCEmYDiZH31eH2LLRLc9UoRUzUWZXdQnvh+7eengstWJow0rDD2Kn8fA2wQidG9AHEreAT6PPQSivU+Z4vDopQq81E8axzWhFRsbd1NIPcYkklQmQPlu9U2LG+7HNlsUIOZG5B5pstcXWq04JUIZvZK1ObH/qOVZPgmZjZG9jEwbYkLfK3/UB0kswD7hGEikIWL+qv3hHFap2xY4fan8/Fkb2lrWy3YJIYj/qgdybPUnNixeNYp/1iRMgsC1H6ASkfLPmtK2dayX45JiGLN/xoGXzTKTaI52Nv5V46AKLfd/4nivf8QPf0X/0DcPb2TYfxzfirmFfXRQlYpVvMfB7GEFpbeDitDjQfw1dsWGGaPq2UUTPKyCf25TupKpB/8OoL/qMX7VkjTQuKclHaZ/1jZZqvLW1KyG3uXxR22K7eSMw/37sR7xUP0kOC8WA4vpyOSKQDZCgeMrTe7gp/Ylwx+w359wj6xz9EpB9DgO4G5C5J3IML378US64oMhJ54NNtS9ETq/iwShl+SL1xANBFpHD+4E0bNXNJpGUinumfoOx/0Hu8UCLFCafKug13tV8obJgDwwQVzZFkG65B6cg7OHB6LuKcnVSAJSIDMmlyf5ifs6PE3S2+VLwg4WYBJFxzJDLZCbertpF3B/iW0m31Jjk/4WQg4hzmTb2PKEawuWlCZI4nTRnQkGp9ne4NBez5buGQSWAXS+zsatg3NRHVQR1eqlVeNa3yTlSJNj1stDeN42YBoFiN8Py6DBS9+O2jC7HcR9Lki6EQBv9HKcuVKnnSAd7TvI1K5eaBeCziPoW9DkDijIzHYJhs8oTuIxKBpJByBIwMAFgiC8g9OiNNVl5GEju8oEgEGkqtyjInL0Mtxy+9ES41U5QMcDZEjwJfb+NXcmE0nCffQ1shnoJzhFaoimU8OWuKSnD5jsU6G24Fmu4i0itQi+NJG1Q2UHiHWscBwFL7dXj7FvS/TbUVhrESlBHtLB+o+tz9gHpPQeHPxGOziMH8JaffDlu81G2Jw6rZ6ncTxMqhHiFsyHjb9JLOSdTPtoNzrsexPaCrGb7zcN6GOj2LLaI13wx7tJ7GCGpcdfMAmcX/XrUW/9QxYQ4iO4s3LK+j6tGm6DPspvGhzcmky/LnjmebG7X6ip2I6/sx0OctlpnH2nPgn1ahMjG7T165u7aTo48tq7Dr060HMrZRcZUci/0kOdEW8NJ4jKutXR3YV/6E7v24rZqrYy7b9Kg86TBt88asJKBfmOu9r46sinOGyWfA5QTxrj1xIxH3K+jibEHfgB+IFM3U5DQbwGhox5wUpN1L7uAK+ueB/i8/ATin9FdfyKnQOV4/fFQF58igXh0Njayy6P0xQl+rQkGAPSPKf4dYQajeLceVm5OAmbPcIeA1enPy8j1AM0nUUhzXeTItvubqrpJ78gDdnf1nNOVpd+ROxhjbDY6pGG2NlXfUh+ZZtc/PXx03t0iAFElwUEX2yfleH6TPaqAQ4iroI0TCIi9zKKfUi6LKGx1ePhvbG1QuMHrsxBPTvaNn3MFKE0W/HL5PUzF6EwplCpFhvBWarSWvdli9N17n328WKiBl3AJBJ0Jz7Zu4OyW3CyzgSVgSyKfV9nP2+VkX3ipZOkDy1GIeQhXLetrNo2+8n0oopURFoUu1hOUzJdOPMmkvq5lqNzezgyVYcN4WutZgZQch69GxTkT+77nZE+mThKphVkAcQrfz6uhw2YhjW4dhgen6sOlKjDz/vVsRXQr1K02Dmvwf46C21yPcLJQq0nNqXyK2P+VeuElP0CastoagSNKJNSF5xa8x2J5U1xsRZInuqZBlFsk48RS5sMv4ts4OuTWvcmaJRZQAb1wOgWtAv5msjgS4+e/kZXGzy2BKTwLbFlpCkm+5OhJeVoITHnhH/Wtva9g4zWD+gtbFPv0EkfKwQe2KH/WjXcp5xHHqA+iYz+K9Nu/35xLaNKuTfOnZraU16o5Hq0JbSiG0gRyN7UGSp8LHzOy+0o50VHlIxjxrb8uE+M5D+RYP1VXyyo6U9tfPB+SPJf2qgsn7F+9SIo/4xjnOIgf/ZSoEUi/yuXgIqz3bd/aLMnPjWVbrU2ZlTE59N98UIuNE3lgt3ggZg//lHbq//UADex0IX/qAFm6J8aYDPAw3/UL7NjUwolWk2x/uz4x3nsn596XxiQhPc/4rByMMoKhX7zkn7Vsz2nAnMG47yLpro//6j71a2Xkknv8fpHHTX7q446CKkC/vNeMIoscRzv/Hfntgh1EFPhzP2zznJhudGfQjI4I+jzDUHQZHl6i5MEnl9u+pLo1QQBHgyK88X3sWA3MnjLxaNFLG54ZNpAEBYbZPYo7N8C3NK+iTbILvOIi9oGKuVWiq1oYvuf//lqHNv25oE7+DUAr9Vbmmm4Ia2s2DhxBQIdmKwvzPFXqOUkZx7z4B97J3P+0l4YPJ4gdaIgWIGN0OwOx1Y1+NPNhWFV+4MLc6uWZfk//8//6//wv/zRMuZ/An9a0fx/raEZf7Pct5axu0QdR8rMng1+9w7r3PEEfRwpqAOKn/JKaLHfbXhdkqn5Nt7vi3e1SqP39auhl53mGGiJREtabEWD7ksotdz7TYEq6Nb/k9QORY+I1zdGhBcnChn7xFDrP4Vyj7v843ygVc2ZkO33yKtms+jM6hsJ7u8CHc6Os0Dk99uRuhTpn745jFn0bfwLWQ7t1D3eZY1dZlbKvzbjipnR9y/MCVIp/ijUuJvn9bAOTGdT0YI/sfRbRqRZMWNzdLWrRdzsiya0dI7Lcn7fX+mJQ8bnRhvG4yp8LJHNT75r5E/s4zBLpuY9hU5GxH2VPBmZ394Ix2/T1hRH8vuVvFYpHg0uq+ekcix0a4VGztIz1fKXeG1VNL0nGFUp5+d1MuplWTpyYnRhcbMkhbwspyl7ZIn/RggvfaVTjIl0mpbn9MxTsZ2pe5Aovh9+Q4MxrhBssLEHGhKtk76Skr7Zzfw9lY6hqT3tibUthCDc3e47AucCusDLg0KjjGsPXxA6LtJUtg2i1+uoUg8f2hjmIqFVipxIDGlgQzE1Z1bartd49b+/M6Fe39tvj7vFCZFunDJTlh9/49+TCUnr0FYn94Sb39ypaLDKi90hHxD2N3utk4/BMcOsXZyeMLW//16cSBJIv7MPS3y7TD6MeRmzr9+S9zq+WyKtyXb/ktxrI9yqZ4rVsmfyNyfI378dvx3soQedvLLjbxknLZSFyTXDlVfoKkYvEzphfXVnvXE2cl+PkDfVmdgwsQqC37mJ1cd6zAXCP+5aKt8v+Lbm3zHpxj5I46eWJWvU7yp8i5D3ux9gYsT8Jx602R1fBu0Q8M/SP3VdXcz9e7WEFoIUBir61adFjPVBm/87DdH+3sfq/9cN0f5Yufq/aYj213LW/64h2s/q5/9vN0R7+CGW5kn694Zo/7oV/7dbiX+79V8aov194L83RKvzf7Yp+/uh/t6cM43XB8L//W//2+UX6uG/GJT8b1uE5vF/2flMKX51Ofu5tz+to38t6vOreee/tkKLu+7XN8tPB7RfjTh//krHfvpZ5O7ZLf6PK4/n//E/HvP+9VUfD3GZz/9xxL/2X8f/yOOl7q7/WPL81w+mfE5/Vgoq85+Fg/4YN7n+I56meM6fgz02+1eX0F/t1n5t+Y9j3LrsP5L853fzOD3Pfc3/n2m6Zv4KzvifTddk4nv9YinC56+ma3BmfrTUqLgc5fzkYXoqxrhqDGs21EpRkpcjkSlLlGl28qh7G8IY9WI+iUFyy3Vr8Ey3M2Jp5KdQkVUdHz+I2/zGQUPGgaJ/U0xqHoy5Q6VeSIrwCHOS0kZEhgLMBM3hrjB23RNDwKyFg7FlL1PGK+lF5y1nk2DKApjmsH8+S7aAKTP76zN8IM/5Ysl4zU4sggGKlDNoM8kNgLCChtdb6pSB2R7tTBuErm3fQiZPilfAVcuQxzvnDh/R9E3l1AwMLGntu0wCVk75APH8rangKnPzIDoA468iLXQH2BnUz6zqstk75Wb1vVBdhAJjNyZ8zOoFqGT7GX0E1SqXmibcvgC7Pi2XCFv7SvAuAXYLzKmtRg5lrQIJFZc0qGyIYSRjifM7QnraesX8XBOdShK8IxwqsdRzZwO0b5jqLCDytPbt9UimeG3qhVuPS6/XnPr4jX24qHPmXyFRvfGMYMxCM9C6oEcRimZMb5YCZliICEivXrqTvfYra5GED5eP0j1Pki/qaifB1jZ1vR50Jx1IREX3HncMpn+3YDGtffMaPjTdCGt913x7LrYcmmjoW15I+6aWSkIyBqxDsTJWAv03SS+B0piNsavXcH8IsOZD+l0P6HvASwod0eknfFN+B6WYcqsnmV9Kv0zN5/k3wBiUSQXTD7wxBjo4A7KVzIAi21uu/fTf1xczVrTSH1V5uWMLDfGn7jp/5cKbJ2EJfkhzOJFxO61829cf/PVmSBzGVpmAMhrK8rU7My1xi1EpngAfVfe3RDPknfBGWK1u/eyqDow7PXyEDqCJgnq54kNJ2/AimbuURueJrB+BhZd3KPenZsHalwrHjIJ11WcpQUBmdjRexMV86/Wj6969NjIEh+Rt+0fA9HrpQ2O+IpOh5NonRy7ZN9SlpMpcyjZg1fsO4HPBBpbE8HzU90HW9w6/hxSZs+uwpRJaiVZ4P5x6G5FSAce0/Dbkpq+vUDGO6pGzLfw88MIiUcIyX3bEu62dipiAwlJhgsF5zGnsc7kZMgfQBn4/DIpwzmbZ0lkLdYE1kaCRWYOuf98gsfGyvTxycLLvpbNDgYhmdw4rhlpKR4Abc9rLryoJsfuVuySCl+VhxaUbPeypI30MKNRKDVF6VSjTfrSfumBmTmvBx3tFuXaYxCcRR6Hrkg9oDdmr7wqXsYwpbKevW69aQTeq1Ou4bgr29lhrsin91DDwYEM2Y/sot0f4HmjlY4uwX6CxZMVltnoY3BKt8aJtAz4BFFlCkBqLNfPViXRyRz1WXDHyo7v1luoX+bAy59HZB6Er6euxB1vL8UwPDdOulAtev/W3NxqySEEAdvlijfJkLTOE7AWx2cd8UwG3qU+OFFJvoyGtB77BR3QHjpJuTj5qZEyIhGmp1AIXdXw9hjJLz/AokDETLe/DbeAnbnSIA+xvDoVnl5yyF6l3Os6keoQy1v3dzUp/N5RAVT5JJeVn0JxBXqUQPFll/cp7GfqgXtViIwz6SwvhLKeTdBeqsrAOnLTt2KiWU5698cYfyWu4RQ8Or+lLY99UbX6el2K9NF6glzUaAT9OZHnjDuu69gHQjM8VA7XtxfLnBTZ4z+nwkaA8+A4Fo9e6F11Hgbjr1TB4A6HNsE3gB9RYMSvhYKhQwmMDViqQ6sjMReStx1wSwa0lHn2E10WcjMB/3YUEH/8jFVU2wVcofbnuDeegriBtynb8Cfq8jY1DyjNEw5g0YwEz+/xlPZITWnGGCWgH7YBqwOzSzw5qVDNF8XLI7O6MgbgbkDu8GJkyKm7QOeiS4u7tcVu35cvTO0CXSkuKP4HgOwaCXE43BX60o6RaQg+IOmzKfMUEX6kCVYW5QxlSxLcfh1LndyK5s0zrjFKgO/XpgY1kD2tjYANW39IinfUnqiZyCgqZ9lQpSHWd5TAeRU6/1Pko4Lc69ALvIJI4DNCmgT97nb7kqclhZWJRGaLLBiacIKNfNcVKfazmQe46e//y9CTmHqAFDEDVrJy/DjEVdShqv1Vk123JVbe/ANMk0z1+flEX40FoiAQ+ebg5fDZ1m4afj7GgAoPJLsCL2Qv+vhdO0glVwJfOGm1bDXX4gfWHDJjBZ77A3h+aPBZ6VfkQvc0wLxaCjmfI+i0f9GbHJJ1ltrzc+BK72o5cBCMIcDldhLUQketOEuw5Hvc5WsEcmhctL20hYlDj0O6aK/0r31mtb+zoe5tD9O0ioUzLGL2+ONR/6pJ74yC3yYQX+WYSOeFoHCM34e1W6+wEqjUkhgWjlAA0rd+pJu/cus6uOb9VmAcZg4LTOEi7d7q+x012eLdTzeswW2omLlXFG7s+5k3aIZjZ6t1y7yOTaHmkC+atqv4uS7fSzEBl1BQXRxMPva24CCaV4GrUiQoY0hIbT6DLeYcXt3wtkTF1w31UqnOwagEodeJ0cOBcEQNOe1g3jtzMTQ+XncFgSKmz8H0I1ibh1M8KwwrFBGwBeSV2KAEvYY8BW2W+S+IpY5zJrgrKdxjlHpgifh/0/mzdNObhVxTv4cva5ZRpaLjWOl/miyQx/8qdpkxPa+Vgfb6GzUcdiSI3QCnAKZyHHbcy8CImj80iklcH1ORKlFc/ZFyZ8jew7l4PF4kz7IPvxeWjiNUobYrJ3F4yU1IkZnFlXsAr+UFnMvbo2uO26LLUvqsRa3t56TvNuyTzvITWTCiPRfStJx6D8T1laoo5xM48zzGQpMkdZ8Loxme5JHCOELtWmg20XJynn9q3vCi5tGgkLEZpMAMYBh/epTfrXUF100mxLxAi7/bEVa/S/RrPQKE+xg5TlPZRmAWcSZTds0bS9pXM8yz8fLHWU2YezkgPQ4m+gMPDYBmcH0zl9dh19z7o/cJd+ZPky8CvAgIiTxSUpEuu3rPO5Ig61Q46kEP7RM8GUt4WuOYVj1FCe0zlx8qVC6U6fFYIYZJ9T0LW5xy1yCtNdC83cqLc3Q4iY0jQif5exJdc8AkFbwyKt2LykASG6XEvBIYTb+5tsqMPt6Jy51Ax1M0AqZrWYe5Pa+bWCuct6ZchC9IRCNalmCLAUDlwaUVmK9A04R46Gns3W/jeQmmxpIiBt9Oswx6ozTXSt9sKVXxClQTkbE6EE2OXziKt994wijCfVSnMVZX2KQvzp9GUR/GlLaZOH1sLSzrVk2iJ+UYwyhej+FOgUWWZ/rJDk5fnaisfUN12QSzDx7iBi30dYSQkj/TRhOfrNZ3evFzGVFQmHqpzYCIS+5BZ8bdbNeynXqOxKTP5+KuWlOl394lqCfZ4QJivr/LQnLNkXFiDfRgzFpUdUb4kLDVUMwIEvvE/IDlbBgMVzbWIkccnhcCZGZs4N39ixSIbK03DmYXB/ET2B9orUSRmUJHGKv96GWQQY50bIwWObOu3nbMZ6U/g7cTJlz4rRbvNDZJLamDuGOOixk3ExmkFsppjU4Xi7wNbAxNnjqWmBQBshKShNR2iQeL6RZcF0gz5uXYi3szRdjuUIlbPt1haG29x9fOZgAmcS05c6PXDyDuq4d3PSx/Ry5b8rKh5c4UsNMHzNxYAMuzjsrS0/DVs+XN15YaKX6n32T4CcogvQZ4wiFYAPFpDluIENiD20OduqATggYF5GAm33YukFMHOeSNFBx5kg8kJTImujY8uKoAatL9DY4eDJAFj0NCEE36EcIqQjqOghAxlZm4gB12c17hWi0j3iiS8y8WjN+l9FK8yVTV23uq089t1cZEVoCDh8axoEPj+Z1UBZAG/3s7X0HLcq/+KRIt9J57+EGDLZ54QFxryGtvvaNFthAOqDLU3x8aik8UgjSQuBYL2VWMggO2/0ACRiZhxXvUB5wI/L5CAJ2SxY0sYSf+2Sl0oP3J5oLVH+ri0s0BBaCIpVktSBnQxZPJMx6wR2wa6QHb56LsA5Zv7sUzoWveOBpI7XNZbE1owJk+k+1K0wJbC3SYsc+5I+pndDliJeKLkApztl3Zd6jXTJtkdk2S/7Yf2jQaCFZ5gYiw7f4psIM9DuDeyjtzlh6fABUDmz0Wnckdghc1iocVcD7PhIjQ5oAXhD2FpWq0Ah4XFHxucKYahWn3hv0xh4FnLIe1H0EpOaLiwrFJyRNlXzI6iZnFSwT9+b66UD7mKEjCWjoQHUyYGvo6XZOXMlepVx1p1epGGuDILJx6qoDbGJYj1jlBwa+DfR88zimxIbYZeapfyBA3N8gMjzGEEOvdDcrg77buqQp0dDuYPcny6MthNLcA3xIMATLZ0rrvFqWc/j9TvQoB3TlBT8GzvH2Q+bZYPtbqAY++KWYaeQrWosU+1Mpj5YrzPMCkkKx9xmHjVxXYfrW7Gcx7jabD72jsMeb7Q92naMXu8vOrrr3X+Gd8GTdqErdOc3yfj61x0GmffYz5AwlgtTpSeNNLMlfUqHWPTKFR8VBTPVDkXdYxb09v0mBSsWzBPrcOZfbRGEJbvsT2ELbbUD7FO5XPHa2PR0kDyopFn8FT+mrDhVFyn4Ph3ciojsJYFqJV6fEJ057KjtbHHkrcLhWzbi6yCSerKieNOaAQ/NGUQVAduClK+NfgsRqyfdGZ8DvJ+NfXHy1Fney9KCAxOLnYV1fQOaWXy3YrivvTFatpYSevVOyNBAiKO9UiTT1/qTGcZy/MEX4AFhcT7tvDIg1Ft2RKf8zGejw4e45ksfVSsVm3Fg93/LScJwlBkulzXrerB/vJ6uEautqHM0+7MfNwyn2XxAfY60T+V+vObtFLGJ56IP2FvkcWQcJuDTe1NeqVCKMxs9fMZP4RQMhka0IWs3t8dB+Z4WiiOdlBV064CSwrUDsyeupWmRYdvqCYD1MCCh0so4ipfqN8j4CM/8G1SABlHbTXwHz+RgpLIEiHe7nvPgSXVd8qbC9L7TMUVmYtAmIr/TkDO1rFzhspUuQLynTPH+013AG4MV+xPK1N55wNKLnroCIo2tPuC4O5LnLqdC8UwVu8OVjSGh+zCdn1nG7/jFObZsmSIGy3vLwwRk/eO3NGlKxTBd9ZMHKAo8255+NXOe6ss6G2Jsxo6w1dye/q0uSGyHEe7EKNR3Caf40wEZWRcN4WTaEM1CFNpBx80eO7Z4EKKlWvzTq3XZHenm3mvBwZIyIINsM2sJ5rys1Bx4ft2FUqvhPXrWonu42YgfEB8kZY5YjGjcznLycl5a7N7hBb/upZE6Qdn2k/3p8sOlIDRyYUG/eDlsu5YTOwsJLjNqKqNJTEtffhblEQCsoi5obV1nCxNzxt221BvTnXF0TLMd8rxocmUWfY2KZEqxTOHma6GbIIf8FuWXiecOxw55rz68VH1ktgxFuA4frGHaqbdHvbNlfgdHDub/zlcbFtfX3JVZ58mu5Y8BeRgwWQEA0f2Odq5Vyw2ZMXUeGo4rgHatIcPjeDt4cRc2OfEo8M4vzs03WCEsE41f7RLD24WrPe8z0trufCipcqiwDJYDe9abFuP8+WarMbM8XBXv+MSRWbZULIO1nIN7O04femwDqQ0u/OIt0fjN3ZSMUFVPhGY4vEqmOONI4de+JUrFTrRbZ3N6jnu/+OJ0hEpPEaLDrU183dMm0xW9oi5fOGMMMtkd456WgcyqLUFyTMIzgIUFhqJ2WgjfL+q8pOrcfX45YklQcExkFJkivp7wioh435hD6//0/vien+8aRPBF0YSw3V4LIP5zwB15TOq8jZ7SLrK3XDy+7B2HsWnkqSMPsE4rGAapHpVotw/bBR5tHW8/bYhJh5et6vVm7h4dpmKjj7kMX1TNLnQsDF7aD+55eqyOAolmlk8wcCx4+43OjGgKP6OA0b1cyJhziChYqOhRvzTmiGUZ9+B3Nc05KEaeojRuJr+/Z1dUmR7ZXuC/h7ruXM7sVAo0dFfiN6N1FS9L5H0o2l3DOmtVyasCF7lxuI4QF1BI4G+I4PyUpnP9Jtcq6ldjs58bdaRVYQz3FvttshvmU6cni7M9Kvt8vZVuVi2nxCLUOVzhqQJcaQSv+9J54Q4HYWYJ+SrjFwjIC4oyeaqrT5vggyroWTE1vbFOPa8DYY6BSHuTde4CCYjOcTWSypGgmmPDLL9j7WckTfYpxrFLvPtdeJ2rMfBLU5HuNQl64oREMaS85fZx4HwMtRxEO260UU1EjZPKMMEdaaKI3UtjtjfYUtPrRmRDLgXfpfY5ZuR15UKLJQWmFzlwwg1qhY9uKzqGCEyhd9DZDTD4/470SZ2aRQQtiFMav1GCZkSY9H1clfjREfTnwVBjKHujd1t9EbT8yVIQhZ61/Lcw8SiKsGTadX9zKcTVCclnzwfvLajtEPs9xiTEDY+fpMti7RGpVR+t2imaoyyGKjVLvem9sRFJe3+ykRn68xw0Y/F7ZzztwezMI66bsvmVv3zG1NJMYyZqhKWvws1W95dMBpni8B3jHqnROusSr17kfo+YP82iK5B7YcYxIKtzHCjfMzUjz8fQrm6Ams8Trf6/nd265qD442WcfxRbWh7ppsvSbZfbESCd/Ohc/1+pyINQ/t7GruJ/u0rY3L3dqNJ571LiEyEjJTg+5tayY6ecLYjZe8ZjeAYlbdalK8dm1TTlabPnRnNIvznh2+ZwEksmJCxSHrFvxXsZDo6vn55SB06ZqCtt0BkOxYe//eyv/+ayfv/d/b3hSXxf5f9/bXxv8j+Uv/vZ3/jmMbxIsv/nv391634v91K/Nut/5L9/fvAf19KeOy2fvhnrvbvR/uvE8V/P/7/TvL376f07zPK/+XKVz851l/Z1bH4M9f679Ks/8j6/veZ4rr4Wzr4nznfX1vmv9LGcTqPy/LHfsf4K2G8/D+UvP1ZMYtz/kjecnIhHerz4ZP9y4pZJqIl78qVBoB2ooSFmS0V0ijTgxkVQ9LDKKBc63vsfTgyg/ybHzzBEov8DbyDY4WGYo+SFWsRGNbv/0bef+zKjmxtguCrXPSUeZJaDenUdEqnJgoIUGs6tQLq3Yv7RMQVmX9OqroTKPRguzuozGi27BPGtY3ySxYlmtI4S8XMiNwzckSP17EzTJ3NpaOJQBoIZ9oiPINwryhaygAEwShlgEimGRECc2thqNHcw+ZzEJ+QwfkdZVQHxFmIuXgAqGmJGb2FaYXiKCV6u4H6PWwNfeJ5PRYgiiM58fVACNSyvQ1U8HtT4Aw0MDhCb48QvjnxFsBAf/QIOKwSCJTgsYLfbLtP8luYtOYmOi+hdSwc3OWq1KWQO2F4z1671ftmsiaK1MB9e5/jNDZFJToAjdJqGD5Sx36RoFNxjf9uuW2hX2BBqwMcJj7zyDlfAQuCxUKvmNnp2V8jEzV8H+vr+pfieleysw/40xwWfMCfd3ZdPIx18i7IJlODba9TTdKagZXkjnjG5sbhop1/YtWjDK1LPrDjACDDhw5V59X7M1w3KrCZJBs8E73RuyPIi5O5LFM3Mp/IIDP7NLo2AED4d7B+a0Ztg22VWeG2CE/MDBps6OSF6DIPgTBADs2OvJ+qQvrqEdt+5SqCwoD2urh0D2kUNr41MqcZXZ5EuX4qSh5fJHFeV43Apoejov79dlfuIyuyW06dXinRQr3FtXyqXx/AVgM05/EkTbipxOfzUfzF29rs8/DiCgVknMkvbc2Safv08qCJX8iRhTRIR6x5l7RCeFpIsjexnaAym/hBdg3/Pnin3QVmV3l0+zaSBTtxgE4X841GgEHw1xJH28xR+Odl4X0f9HjWdN8wnYnq0mItTQer8Zx3M5zUtmJmIiEkzM0k+ZFHCHaHlICy5aWV9L1cMg/wgWwwHF/XrXMgUpR7lCakoqlwMtk90sfbrGRJRa2j79N6dCGTtmzeqCwABct+2Ko5y2CXV+RVQMNSb2Ft3bsPefZeII2yOzFBK3Ref/tMJ9c1aF+CO38BOK9XWK+5gPy8E6mwudMljUh4F5ctSX11JAmufaQTHtCXFMCA0/gjrHtkDqHzbXu3RDc5sFF3t+2E0O7yNiQAYcamgsC4C++mH19BEySluIArpofi6QQSEfJTfaMXdl5GkFfdHWcamA60yXGZuE8KcmwHKS8XWyAujAnAvfNGmh/UTZCPMDmimaq1uKD7in/jAD09bfuTVxYNECwrNEwDtXcAeTIvJIu9sjt0mXw5X0B1uPFKMUyem6tlehXjlWXIPM4MR46cfH0KYyAKd0OZOJmV48Bieralz4EQEsS0xcVbVtGKRskAVss1deNnAGm/7pHhlspEmTcDilZ5Hukn6eJAWlzrsvU53dssnSYEcQSurParf8Vx34/4rc9BjkbjpcGuu0Ao03/xrci9hT8cfSvjd4+2TlMYK2SV7Z4V/OCN0AiXmPRQWSZR73nfGz66RrJiCW/WZvKquQVf3i9dfE25GzeKKIz9o1xyXgvUrcYGWxknUvosFFQETectr7cqrvOyU6228bVA8zoeUny6fMMZRhyCmjssCkmp2OTQ/DLvPRRfEh9ho4YiO6cIXcv2WahckJR2AOIrlG+Pj+vuJolAP8x+2uQa11xPevYLwhrQiUNw7MiAiLyoB7jQYdTx9XlcFLR5+LVDWtgWRrKMMxHOWdFB5eP60gRCIT0Opfd7DpfsNQT2NiatpeGe2fmCwKLxSY9fkzbdvNnKAJszfw1eQrGtnAKRbNLezU2ie3vNtw6J33sGP5CyOSK84qjbEW4KHXVt2W9m7JzKdUWZiDNY7hkXn2njO6RJAthToDz3lfYQ4lIwXCytTX/ONIOagDEyP6Z6WsXNg5xjHEFeC2JlbDL44StqTYbpNNLMHv0tLF/5Ts2l4Yy+w1t5JVL1FZxT27ROvNBGICIywWCiAQxIUvjp/toSGLX2ip0Xyos+XaFoAK3SCyPYkpmET/VPvtTpPKr3xZC/mvQZlBuMQvdKNSJOHkSEptmRPR5BV7nO7RHpEWkzqoqmYwY1+rYbWC5JwBQ4iNtSYPmRzr4JcI3UArEn1ISXX7qOeoGnD5kjjDd3GXh0Q3Nxp6m1pmyKtf45pScSsXOPPJ5WeJgqMiCElslHrnuRzQf6xJ/lF4T1YtQJwEwBagxDEENaA9EAtDc+9i2DCfsd7EqKCxfiJL9RzZj0eUM9yBNqHLvQpq6pJunbbh5n1lhGG9QL65Ejo3NSHdi3lEeQE3Vk3UzYlEP9dJXSB9R4QWptx8DpyD2trEVyBE/KIrcohCBdAFQ1lcZrYqxP9NjhYOrqbzO344eEqNx1q+JuJhhs6x8ssLkdfeCZRaqff6EoF8mSIiSKthJitoKP7+weExPRSOIBTfb1SO/+Q+Rsyh5SWxsfTlGA+0so28IwS6qUwpc5796E+8JJa8NWcHwcKXgg9KtufcawGUlhC+BRVRfD4zJTtAqCvSyGlB36Fvi0feVuIDuA3rRrIjE8Y1wqYhHk4BkxDojGExw3MNxThjrQZhH3eGQ1yedCRMEQ/dY6wTIJonrunSULLjnbO4EXz8e1jLm77FtBmngZ6RGpFrfFmD9K9CSZbPc18BQ9dB1h2X4AC7zJMcJx3r74nhOlt9GlgMeWyV1Dh4nETSSf7ZeoiyOH2nQlCM878dhpwG/ZoDiCZvny3pevtQUOU4Zc5VdKD1n8C9Ov8MKLdkvnJYWRIORqU41RYNidajMKcNUdfl0/8Bblfa1/evX9tWtV4ggH4Fk72q+vUsEp/jI0s3fFSuaIpv4xlG1icFrTx1o0PQKbJDvQxpyUEhXvSr1EdCQi6OlxvUUIeskQcrzwPhKbt5UFKYHBjAVmwjwxdTElPmo/gmg/8KaJ+UTRT5FUWmVLmK/uLuNnE7ZNgHJnIsRN27XELchz2BnCUs/XNT4g2WrZ99OCmSqJrrGhwfSdt4G9Nj1tOL4Tri+ETmiaSgfnyEOmCtZKLcLSk0Tx4NoTVM/xVBw9RrJPRVzbxF0HBy3zjsqF0h0LmJgZLtF40V+F7sULbJESz8s6SlIeBT6uA9ORhtW2v0WOJ3GFdiESvLxTCDMkMyVx8OuHn16PVIf0M2JDl/7ho6k8Obs5V7S7qE1tSJ9SjELoq6eOUWHNgGJUtTUhuWRYGJqK03VFgmDXifpOclxGxo39WjBCW1kOXJsDxiEWRr2sZsYXFv38HQL9NDUCrafEdX8qBmHJvOmOpdhfutMl6OksmxwkYG/Uzq76MaO8LjAIxEyxyfQlv8El1NKt2Frj3i4wez16v9cd3xxwG80OiyH0lZpkKaExS8Zls3UujFyauGTUg3nDKsPqKzz5gyviz2CUcaF27oPj+85lnsGXtnraJkzUMajyw/EDI6r6u3xdP+MxPmWkJOXXz5DFOY1Z/NBjuLakIX0bv5pvPOSB+C7cJomalMP1FeKE8hG0X+jjXY37smcY0xKBQqhdIjUJSZWvh6dPNHolbgvTj+rXQWcMq7K3GPQ9vHw5jpDUzB62r7KPawPTBSOEXJQtzcBpnrcLF0Tp08uwQ3x2etQRuOPg5vKQnN4pv6Oiy9LxocZbBQhmCTCd6BQ8w3Qq8uQFxA/QskeVA/4c/cVuVUCxuxbdeYYD1su/pVelhmYEgbNRfayeHFWiWW+Mp95bVeLfOLErt3qudZL5Rj/n7yTwUQtIJh8BAHVCwWHys2d2VMZi7/Lc/fy1DlsAT1M2i0U5m9AM6vSWt/0wecFqfeeQmN62Oecc0hMnRZKqpWze6n7euLdR7kTaCK75SVA1Qb4abIygBKorFh2E9Ivcz2y4FYzOX6GOfmbgdGsgzD9orbZradv711nAcIFoj8rjcfZyzhjQRyzEOboP6ZgnLV209zZQ1DcOU7Dt6N4Gy+xsHLTJWw4Ig/t+ka64WavrH7PWDJ81Jq+xbi+xQO27m4r5Q462/pFp7YyAEcpQtB2tNERcDMAI2pOh8oHKb9TmsGzcdOaC8OYHNPlBZIb+DlwvfLgcwvtpHQn1HDcoJ/r9sswNBKvA3oFdpVVsWIkkRZr5ccm9pmfvI9u+eaoOGTQ8wrwD4Esn58MX0L0gSui4Wz6GEDjOQ9hKCuPj6zoFeSaned+EDxOVbvZDKXY9GMh3ZcZMctVdFP/w3MM5Q9+aHxstDmFPO3tfdJmlVyjqvddjJhH0WEj3/VikjxDBYf7DW49IvqnH4LzOmHlZ4/Mx7q8QwldCtq6PpGgeUoi4LxCHKTNOW6rH7aHyl/s97jRAvxYVZvIfPmSCqh+30xJ+jzscijqs+D4HcVv1RKC0l4lzWF9SQj7YyK7ekuTq0zU4tBylZX8uu9LkAAzSx3XrGrapNfkW1U/9zts4A2YclxCBlnYYRVC5Cj7OAEhcsuZeUE+Iay9xq+Rnxj1cipIiD6tf2y5l2uo+GwA5gUPnYvw94kKRFiylRkkY4hqLfb9D3hO5GScpS0AXP0ZshOG99C3ZjhaFiG0Ecx95MKIIOS6IOOZ72MaMpveIB5Vku3Vo1myr7XDt53oUnLurbAECJE8NFrV0XpPkDDpCX+gWsu7iIvdQEsZ4+0mFg9A+5h8J5mReLpoUTqmti1NdurZVAhSA89G3p19i0Hb91C1tBzy+e8nwAUQCMhkZ1GVe3/c4rcYcJDDyWMLKIx5dJ7d91raBX4IEFDny7d6AVBAZD0KUlEhjNMG2QVuTXM8JE0PYW+3GuNHWyhds2kZ+uJTGZO1zurMD7U9EEYzzGqc5RoeeVF47pSIs1xsM3XWv2zXnxXZ7KW4EJYZRhpA/5dmMhDic+Qs0xLQhFXxLsA5AVUhB8ye6c9rQ8sirgYk2ftQRRkAt6ZS3puVVq3R5yKW6XUM4wLARgKPGdABfN6ZRn9AX+hlYkSdWb3sBls3VB1UWkhY+D/ZDMbPum/pBFdmNrAAIlYiJ8YdRT0OC0uZM1DTHpJGbZV6stZCq1l+PSyuTDd6B17U2/nquD4dlc5jGSLeNAUck6fXMK+lg9zvCfTuBkAH4e/spBrA1zMdjBeCtVQTwHuYx8YboOLWn/xTpktjJU+KYnKPi47Cf4d5nmr8RNSP9rYW5FKJLqElM3DrJR84aDSBiM30tmlpdg3S4CLokOEgnYfwBBHTxSEcV/WUFBoPGq4ePXIgMSmtzq3ZOs8s1pJfaeI45kFQLFhtR93VER/126pxkVbMzIYqBQZMR2DCtPGyMh7o0csdg07RXI6T5RbGc9TakGfWSa7sPuiCauz8CIQKjbGOgF/CIptlEwZF7SJSHicoropcggBHzM7SDS8YVj+bSgGNmjuFtiGmStBFnEPmeksKn/alMtI5EkvoCfmNEIaZq3BxF+0PPD7Qul+FyafvoY5nSwhyV/uLw2UWTlir/1NYfLD7oTfuTw1V3NFAV/03voNxYcENS4VMXxryQ0cq24HzOr2dLfKK7IqP7LOj8R38ryKN/ZMO0JQeXnxsLbrGLwpI+gY3naEYOYuwwLy9MH2HROb28oSYfQuH5GUGMJqduU0/jlssX4DjqhyEC9uc5OH5tGkfJKb3ul1AMdgLC4obQ4bSYuR0btQV6tkfFsqznuW1VeZuXzmKr2ctWhDwZZS0pm3tNZQm3CPznBWOk6sIIAif5wzriFofyO3xl16UvJF/v1kmA5ioUqdeLr2ziUe5M5ZgDleG4s7lifJwdVhrIT9v+rsUbS9zP5diJ/w6RpSHCGGeGIALLLWkfIS8Y1uegA+K1reoH1Il4GFKZ72WN/oLYPELIKr31gRp7hHpb09xvyf2z9pLAixyqjEajmzRms+JHLoQo01bo5bT2brIAxDncmX2Z/a3RK0D30Wv4DKq+fuRau1Q8e1UzmvETbpCcENoebLgN/aiMxsqgbUQoPa0dhKTRgWDr18pCetIZhgMMsW9sV+SOFv2OUaWqYUm9xqhIOMN+HWfw1QebsdanEeZHJas7fQ4t14zd/do+FJySZn1iLZkF4y40ToNk6knQhfEtH81LabgeJiLgQe5ulkxqFsBUolKDl9JDlFUJsT22OchGAfDHjZP7d/xFiVNhga2tqBV5Zr+tCOJ+i/ArdBtZ3kKkrgdfDpDyONJ0Q1P+ZVh4EL+4JPYeESs3rXXZj0GbMLF6KNebLoZLcn+b1jrwhGfgtCc+UnJjr4FF/ubdBEPjunCF37zLA/w4B+rP9mdcra6znfvPeBRy0XzfXy17YiR4YsR65DGXljqJKzB+TF9T7wthIYtmSSv4Vr0ixTSXIgsVGeiTTrsyAvnrtvjtAzzctR2xtEN3AKYoQJrFwgsZyd8LhaqEgipITdXO1uqb2XmdB7MDpH2J4fVS77e9KsEaz3X7LrD39TKXSCX7ISwfiZi+AkfL33PXzAkZAcoURdgymx03TPupVy8jOmgt3d2BjInZepM9RcyGUgugPE+27++E/d6G0ZqEPkdivdp8DI2UDk93mpUlHQz3s649EiTVTdWyywwASLR1phn7ta/ZuRj8b4nYekZgiP0Z8nsEfV1o0rSWBF4g+8Z6m18C7O23qW+fRdPZ4PVtWsB6WOnANhfv0PABGmKsaGDFhXR6P+0GuioQa6AxbwE93VYyiyKUUb5GbJseca+0Il/nYwG6IJQyHdbrLzjoJgBY4BTB2aAbcY6cSKsfykxNPaYDQSk9iqED7Gtqje9wmtYNkj4NUO368+p4VxTPdQmceFC8xavATS2CIF+uUEtkSiWBfpVnhWcAz/raMFg0D8ZwXgqj/XVac3rXKMe9XISAdOwxfl8dapwN2Ab8bXouYz7ACDuvZ8yM+rSiXrxZ8TkOrDP25eEnaFDfn6bjNghLmPQxL6BNuJUdw6zs0tGptNnd1f3Nb7FQYBCv9e1ns9K6YqMU5huLy12uIeUNv4dwYmRwTpPe745oPsokEntg8mFbxRlhnXopSPCDoLw05R+J/1gYm3zjZkhCygvIdPYhYhSG7Uy/3OIDNmAyqCY9HYfFxwmmq47sUX0NVsTYxV8GkuZn8I7ZVlJ9vmbOYo5puv6eHzr/0s3R5YwTHW5fjUv7mtIt+LA39+EbFee1zpGYJHh86GEpiw+8aEXNrUOQ0KQ4/l+3goHQdzYnHKpK3Rb6+vVWfqG/dl9c/ug5XyZd55ujOCYOxS/IfqmwUq2LmqlCcCLephAfjFI9wUwtAULcuf/DmEbqqvmK4Vsz834xa0f9d0cthZzY1eL0Ap0jfrXL/miH/36YHlmt1lq4lZzIoQO/eX6qCCIi6TBp3uiS23n2x7eihRerS3LfMFtRE7dwq5K0yxfRE9GvwWWD+boJgsXb7zNuxZZH6hxzgpqZM0pqD5WKHone0r8EJpym8RdPDo+oXJlsfH04zRI+Bkv9ut9msvsod7fzR0KmCA/Fy9UTD9eZtmelwNVwdW6MyoiTBJMXNQwISbtGglQRV85iLh5tOvngYtsLRpeVVIWE6XPgzObJjty/PDH8+MQf+NrE0OePX6HqU4Hp++n0RxAr9LT1mjHo/Hv5Vd5TeO/WaqjeK6OazqdyJXODmKNnje81myXC4A+ayZKBCUNCJW9EyLHO2eaImcernKFJPAcDrcPml6wI/lURQy++sZdX4neddh2Ch3Am4IMYD/0jAHzxF0F9/nDFatoxXyvHCKUDC5Ia+DF5dO/l33tUoDqgBtMPbfT7x17+8QhZLUn0BGvesP21XphfBo/i8Uk2u5xLd/bpm2asteA1VdATxH++PvHrXVsH/gcefvvKXrZJ13O6OH/xykO4l/hHzpV96OzqL/Z2Mw1blfldq+UcNhxGeQJGern1SwhT0SytZ5TLl6x1ogWTEORNA596I2MtcvpFZgxj/6ArF6NfBa5dgmkJBfmHhr5jmYD3X3Jio9TwMRcs+mwO7BV/9Lclezsv9TjkB1CAL5l94oUZeq2jqAKunLsKFaZdJJIVvqn9F2wz+q9r9CcxtVTEvkpU/AXD1zM0pS4wRP7XMyQNShc5otAU13KI6pfmM1FSHe6vKsKIaU6H+n1MgjHHVpbIvyTKGRNtX1mkwD/iJaHQumVST653FauKP3kirTQlL//xeU+fwP8VNN78IrHH/gzeYZuH9UuJQ80Q62+SkbFmYOvwh3nm4jDp5a99eZ9ld67hgQ/yf+/9X3VB7Ht8VjatMde7LJwWouDq27ZR97lnIXgitOtoK/x/lpjz71kW/+9OzPFGfPifEnN+b/yvE3Mw8v/3iTlFTKA5FSP/mZjz71v/lZhT5HSMIWn8sxX9L7di/0rM+c8L/w+JOfETAf/nf13Yfxwp/eeB/1H+f+bbHD/NN/8vDv4fylfitM1/Lvy/WpzhzzSb4tt136Meyj/zc/5eGGGcv9mWrv+o4uwfS10OT/ek8bB21z/67z+zburhH08vwf9Tok3crQ95G9tT16fG878t7YBAMP3ffk6Cfi/n8HP27+3Fd5v/kT4399PN+fLf/vHTJv/tH3/f8H/7x+/W/H3OX/f13//h/CwaUX3n9YnJfyRPMX8lDv2ZZ1QvT92fU/6jpn+e1H2H8p/n/Fmv9Pfl/z7q//j//N/LFcp/cov58q9cIQ5cluL5UTL/yhVKd2R/TGvM3AhxAQ57hCLe6HMHHppeOo9a170r7U0saF4aqOAIFSqKkY9XyNVh0ShmX66GolKJ5agEeeSk0GFRhxm+Q3KEVwwfNZ66xN02d5qcPZlf6Fx7HuzlAzGtjlK0Jgjew88HAAAgi1Ll3ytl8upLwngaBEaTwmIaBPMV/JkKid+0a3/l3ytZ/qyYZZkkspJU9TPj+ffKYxDjvhT9ELJ04v9euevF2JYm/muVLUJ+mmHDZFPz/rlyc8sx5z/LN+qnEHVjuVt4dv65spfCHNrfK4ZV3LdmGJssS+p0/y77KYP731ZG+AgTvwN62tQ2+BbzIO3foydPr1Jb+Fbl1N01M7FSwstXL1mgrwwD92Fz+tngm81FfRU28AIkCCUQYo+I5J5jWUvBGL4O+7x1Sz4NRto7+47o0pj0rcs1SrwQM5NzzzRoQJ3s8/tyaEQgXwhthPV7bZEeBEhP2Bb8RplWYi2sDZCuz5jXe7u/3zmw86MYhTGSx1pLrToZrQ8HzyyV4ix0BJrSE9ZirFxtzpGCsTzpGMOHddmJ8nhpJjQ8J8fPd0SHIO1c6TQVBd6/6dEZS6aR6VuEXUp9p/3VokkXvbyu/YBt0hA/eXCyJlNXX4xryxf9Am2fcBPWYRQ2BBMuJ/BrevLQVtXUTn0TURB+2mb0EInMA5hQKgZAZBLfoaMgga4cN6lcXoolyyLfLdzt619h8r0o375pJ4n02CEBC+QXIb/2Ypj8PJrzu74VlCLvTr97jyU7fU8OF971hCgvxJqHftjcr5Ih7BBy9rb5RPKYXDMbDqyQ38BWlQagkOZkG3x60AlQ6E3lLdUVdFb+ExYfrTZt3lLdFULDLmBZuRRDIL4gesSTDCD0Gy53nDKP6fswWnp/bx3b2HgLtmw7ti/4JoTsyu7pO0eaT/oBnB9dELc+TTrU24taplS+LM+Gfs4bFXMMfA9cEggP7hZfODHZ/WuoCiRuRI+O82iQrvzSVxzkItQst9038O08I7VAM7UQaDlSczGDCeair1i9qAFz5xVRYnQnrrziJF18HS+FuzB1o+cS2+5pOGeK3ogPAkvnqSrSmUmRT6DDnikGXydPYCrB5ta3NOvWpuj3V7/RU7+b/QQEn8CrPQeD/gLnGA7JOmrQwcj3JNtySOsA61j21M9NctMlkouOmvApVgDweogWJDEqcyHqbxGqtUWdArnH0WLueA33F4LKz204XCNlJPh1122Nri0y2xES+pMXQZJ2hORVI+IuEP2NJrL2cJd6F2fdcOGFeVbVF2b6bUy8GocDbS0qL01guriH/8jmcFyVtYDtQvcUY4xCVjyaOCdgi06AIJulivuMxOx58NL8amKHNO8N63y/B+jtTozgSIajS+6iB2mzwOnHZd7sTQbxExx94KlQnpUvNs32wM32b1ZgoNdzYHctJ6CjXx7mjtJcARVDDLpHbolSA/PLuh3uTzGa36+uvZxCvgLtxkNvN2QKQahcUl73sloxyLIORvRtWvCbOzCmpMIA/Vr3OCDBXii7F35C23rdM4fgxp4L1CKSn2B4hTvxFq610Bdicld8WSXklJrN62scLopsCGTnwrJaqo4gwJnXlIIABiWSitN9gDwgGBM3qRgzJQwvpaDVJlVu8+ls/t7PHV+M+n13OfqtUVr1QDzbksLXiCeQVuHMAnJ3bnndCIk4E8k+JGf45B03RgHl7FXAbQaI+hGDVXi/lStjO0uSZZ/0L6ynFIjh95h+ES34Fzdh9sEoOb3C3uv4E9ulYyjlD01C0vT3qpVo9QD+iiPSx5f+5CqpYO1XhaKbBbTab8wv1fTBcxYN3EL4c8VKjskORUbMNB/Nv95gYDD/f1gnrvoyBUg/+uCKQBAUiwIA319g0cqjTCWRtbjaK0uhv3mmko33a5GlmwZMfqz3ldJKopQwi+Ui9nBYymYb78G19qIuNofLXq2j/A1rhUQsfTWYRrnfI3/wbfIU2zQvNsrBsA3YYn1KofyH1+3Posgi0waGLAmsutT6EAn/tr3BUtXtZFfuE9YzrYVtPv7+89f5r+374cQSJHkEklE/aPklZgoWcdhIU9qj/9d3/lj//rt8FPniW+df1w7tjXwT/mvtpnWbVua6PFMZzdihPymR+Zsjp+ghiw0bYv1aGhaVvpBVCUaEsWJ+C4NurMqQfr+YjyIew3DGGqYmfCHxF/W7DF8CvQTxPNSTq77Sdxv23OI4NFpL+Z82GZjuVpYr0sTiz9/TBUzs8hQFf9eai8reUqEt9CMpv4Pkcd2ho1TGKjiaMf/rPobdmV4/94PC4kQjOPNne79KRQb4K0XK7dOUDt5eoYZIRsW1f/4GpGoo+x33A+ItyWRLbU6lKW9hNeBCGbNriwui9tE1xnr+d8Ha3995zCbpR1MEmnYuciHfILgVM76Ah6GRO7hX3v1vRz/fWKxoAG8Bzkm215EYk3ebCeTmJBDgMXiZ2L3iW9M7sC/XHL6oJ6qiGasPQu59n/Pb+wlbpTugG8WmqjeHjuKfMJSxQ+NEbmy5iJL7CYIV3R9gIgk0it4/xJkr2YRxRByji5CqfXJl1a1sVJkqGl0tnBr2SzYIZlpKrKPlT+SZKXRg8sbTEaWIi7643mW7KUSy/HhU1dnfV+Q4YuDDb+tn0PL9kMMhFJ2POIBlnSBYBjTY5gHkxOolgwL3dPQWNcq6Y1zOHnG8hM+CIQ0xnoyfO0FjBYaLCr3lSkTlEViwGTYAfHxgmlKqtrpoJYGBPp1pAvJeyngLcUpIKEUUozFv+hPabxjrJUetwLe9GIXk8y4bwJTCFJDUr1+LA6xQOod3scsuLC07hlwNlYnDTVKi6hfmJx02PfzE4Cy4cK7w/4wbkiJCWyotfnokyozO/zEeHVWNWVyUtJqn809Mp91fY8nWqp9rTPh0R/GunW8AyHu0Gyli1wqa2swQgKJ5Hiq6fNQ4aMNyuPABs0+nxYapxicsaR3y40GMkyCK8uvACk1sAFlNQGqzRX2Uof1JM+fIdwZTJMhpT8vTdvPrzGf+4jVA/8Ep+u0T8cPO0kt/6tWjwlzJG+e7g4PLKaWOq8jDLJZyJPZt5ViLWKgM2SxP++W7f6j3+s1vyIq+jjOl+gS3mPRAKD9heKyM+T12h4uqEYC/nkpeZFHOT4zvcTVcRLNrBO5vBvsT8xtPLEmD+rWTistoSISFY4ETL8okHJigIVpUv37aMhod/onV2RJumpfkCrrDajhSrgDZuO8N9qdNhSX5wbQ5lhaaF2MeIgYuXiPj9RM30PIZX4dqiNWOJWbFm0iImOyUDy+npgeHfVUiorGsbVaaRoSpwh6N1Q8usfuqcpxHcpYh9LSrZfOVYDjaqe08Aeh1UvT5xN7X2ZrAd73/xs27fZyLehM8Qg/eBEeaKpbSsf6r/5m9rWQuFBLxfGPvf8faAF/K5VHbfIwQua5uqSWaQoyYAnIdBJmBQq6zRW6gaDxrdm0FtM8yzn+iSOigs25A3qU9/qFt5Ee8vx7cbZ/+c4pE7YdGXWDPqXZ4AXlNNKrdoIfveSdv+RXLrxAfnjGupNBl/U8E8XyvpCgmYKjdnmcs5xztxyJGHP2Y7fhR7EuzC71yMztBHe//4uzuWHAvFtH8RDbNURKVId2qNo2HAxFU8+84t+z7e/6X5/ZHE3hZ+ukXeqn/vF3TuBlQYynsreehoP2PAPwDqQh0Yqs3wt4hvB9C515s7LDWcgn988Ee+/W0NQYdT9usJRPP1tvi20F7rFHjJJB/Sj4+2bf44o4xKl3sun88NL9F6S5VWFyT8iU/JSmIx1T+/aM1Hrx72txZ72Y8Y99hB58dXC2V/+6LlC0cvlK3F7cJRhsyrK1XP3Fj4L3fSsyA/Bxu/c27TnolT8xx+8uZRIN3ud+4Y1xk9ZsDYKC2Rzy/EQ/JczXU9fditDUmOsVGVOnrdzwmnMp32BqpcnoFJ/J2Y/rxuyxuROJPIltFJ5c2QO4WIYqapgkbgCCFBvNjoV68UZJlTgOA6qNO5lCq9vOcgZXzdnIs0DM7SbadrypHWrbjEH2FyJVudti5aP8hCuQuZHivZ/W72kfPnfIA1zHabTs+p02zO8cgYOSOay2VC/AB0t17HGlBnTH6IvW0wjYus0dHOAcV9Qz4Y8k23Xvvr0JsP+0w7568gcGn4wFSzzy6r2OJeHSY9FnXD5Ij3y+MoRTO+TFeCLuKAS20HfWJKOE++g2pO5tz4zxq6JC8XIGtx5rGA/zp9+6B5Tz5Ab00oPb5eFfFbYi6Acf6ll1ctS02Jj0C8tGeKQk1VifTJs5ZOKwoh7GvNCDKFwzXyNe2wMsZZccFto9OtspeFaqRmQR0+AN3NsUra28gjnGFi0CDcyPVwtk8vzANpWG6uMjMkw36m3N4KKd+nMHvlRAusyKmC+NLZWSefkZBsXx/gOISuytmf9JrQVobPWmzEKSzXeAgEZtGXiSgRTINGkqgddzKw3Tb21htnw39FlIUcKcr4lRtk/T9LFLp8aRbQAUt0ieqjyBfFHqn2zwpD+uRYg56MQKPwzXBiygQt4V7Sny0OTm0cAf9pFrd6ydK2aaV2UWnJ7FZaHL00UYH0iu9oq+W2X0T6QsmR5MzoYMI5ruQ1FFKFTj1QQJjKkFIHvuDRQRDCh7U+tHqajBlWew6T+mZBHTKt3jzjxSiqYhpx7z/zhaGSioQqnHIQL0UUam9w7YHDMO1d8EFrbbC++AlrBGmGvr+BRjNcK/1i1J77vDzLlFA27sTf2DdPvTN+yqhwKFaVIJcF9NzvuXYPb99J9YgPNccw4UM/fEePKkQme0685Kr0yVaPM+xYIgJTjFgH55wmFM25JJXgNtKp/eqvh5esUn0U3QQhGc68DjEfNLaxyc/9d2HUSeh/BkPj2huyu4EJS6nl2LcH0lsUN6e7JVsbirRHyhh6jZta6/fWmKVlCGfeIhjiW+lsjSb5uo6P4LaDj/c44RtplKEY/ckBfbCB1jEeeMMIXYJCk38KVjaw9JUWJ6SCrYTC5HxjZXBxGMewvB8Kj8Bo5Ss+zBwYh1IpZ8F5geSA46qt1SLf5iLKzzjRwskaL5OXXpxD6Y+Wkw7iF2pXhuL3RHMtFUoBcLIWLXscKXCLXAovx6IBvCtm8y2PGyL4gU+rrIfoTJ1PokfDlPyCIaP8rf4XNHycgxBZ1mmeq1MDLT+i7ceakhSqGcI+lW2hVxaJgC8f+Y96+Zgte0T1Qqj+Gf/er0m7k7jNwx9jxVmZAwSQKxHqp44qLJrrOYIjEoY1sqTxFDXikSI+vsTvuXPw4mfuENCsTXs2NKYpxOn4RybIfR3tuncn2nvH6z+LFHySJMnBvvgsXev1qSfr+k0Uz50TxVozH/3XL3fx7WXgViDsjUc7congcKD/4s/Hp6QpZh/cXu9NqHkqn/6lN/7LFVDDl9+ruHNUc5yj8njIn8XYnYLPVZkwEd3UCrqOx3/Ww/+Fzye0xHcP35n/DcP9Ge5K/nGrJj1Q93LCLTwFjBSq0Pn+c9pJmmqYyG3EWB9xxiDsc2fd6roNw0/LHyodB0KdG1EzRaT/oOBdP/7d+C+ke+5tQuLZsd3CoQY0AWfVrF4BkQt5sAqbvM6f0iUPb8vSv0vyL89amhFP1+qWt3896bfXvDxdCOpNQ/PctEj0M+Q5ay/NbbwnApBUiogmXpkuzetxLolxvXXvEDPXP3nWrY4orgq2SDGj39r2CH8wu/2/WJfZX0w9txiMetlA5xXbwZ/JOuLJ5KfZwTc0ZWyPWfnYc8LMUHRw0cvHvlrX//nPux/7z6YNBX1ss/889q/zmriwQy4x+YQMweppc36q4VHrVXK3INFr4POyLENnYBq3nQH5rNCtjh7sEuAOATgfnosAF3AN3Lqqi4EIxku5/aCJDb3ELcqfAUvlSSxrHjTmZ+m7BgcX17F0tcOtTvrcppPmsTVrB6rLNvn5xnCMpqUWEuFSe3BpgfNBjduuxApCyU9wBM58+13odLxWn9UgEaH5Ihv43uO24ThtBP3XNZnKmNv4OjECDrv+3steUkKcPHlHdsWTM79ntMToUdAj5X0QvpTx0GKFMKXCH/BnWpF4LIbpZLR9EcbPDoJLzE7cQ0tH46yxIqJHp3hhCda19GCCdnSVkf2e/l3cW/6gpgn1QOh+KGGRtYz3Q5qR31kQAglLGr9BIInMT+5khjCZJzJAA1qox8kXnwG5h8ybuTlhgfINhspgQ366vxjF5CA7UlCucer2Ek5Qz0Ec+f37/4BPfIzSM0ME3FiIJy1QGeIfQ/YUFk9WI4LJCFrS/oPKUVQzmFpfefuPLTS+x4lvdtjmqCK9PFiesvcfmALCPtwVckqNvkTL84TSxQrP+TybcNb2M7+mCKh/+SHu+5S/7PipBpdb50cAMVf04TxQB9q8TPfqZ4D1KA84xuPk4Herm9VwNOXIJ86e56S4tfyUoQLxG9rQPcJJvLQEE1r4wGsbxnCq7+WyefqsFc68xATyTPihy3SmycwUFid/eGjqWb7MjwUeZMw6U/t7MwNvooZ3ryy3XQSDN1wO5Qt7VUwM0gZLLGav31OE0JrJT56nXGPg5dYg6nMDGWZ5XN/7ZUT2iec3LtyOcb4rbO7gHVn/QwbeiWMedWbS3ebUBvYd4kxzetPX2vXj95iJ7eZW4n9UFzjlRXmMMzP3NGEhRs/wQyBVd+2YCwq+frMEw1P1d4bP+PyxkydTDxm+NmLPbSX8wfz4zXfm6hW79UyNjlWpIM3RUIotfTnOZ49V2/AVsv3aBublT57Dd1npUr74ZoHAar6+XC5uRZblPnAjvogwlFLHMdYifIwn18zbrKkzGD/NeeIitJfc45CHPh84X6a5rGPZ/P9yx+O3dh/u6AAZPr4rn5yuT4taq+//UkbsC+kYqztkpGs9a1/esrnPo7ySiqrjpYnToTjrf/G9xjwQpGo+B98X5zEarLoMXf/K3wnu8aP6/N/8KtP2W9ymV/CV4kWxAuGlPZJujUkBjoyic/W45DW2pgbQNXnmnu88g8dddgCm1J6qDezIHjp/5OH/slJY26ReSm+/VNdSe5Rn94cUkHizvVkYsn5VSlhyghF/XiMajQSM/7PdNQ/6GeTqdggIvxoE+3v+ckN14b0MqKUMTp4BgSLN//Jr4EYmo6bH1IKI7q+fxI+v//1uwhuhEu2Vr+7TPelxC+Yw6QTu1jN/p6B1GKXlDNcKYTiEFO0jcd4mFi9HtVD55CYZuGV0VB02IKU89xl9cWdJRGNH+j66b8i+gZ7DM38Hu8EXGvUm5CbD/TbI4LRkpnxcf7sg/6aF+2WeBX9c/nA289CpnWrvkApBH7PVazNZ3sGUQcxDx2WAwmDf81tuXsjlF3CNGgZjuxR4Ij5e65rfhByFA8lYzi1DBWALvA/20RQsTNU/EOmMfFtLRKQPcH99P8b0UXis7CBxVyYyBZ7ALhPPATLgkXuMvY7rqub28Jjo5LVTtXJ4NzZ5W0bgD2WvwRQciAAMz8q9OfNXPPHxMhvVvgo3cNWWv/WB2ZudLNPOS9aSPrs8lMQMiBaODp/UGKCKwXoCb9yI9FzVPlHtI4/D1/x6AERR1+HtUTviDaIMdCoJn085jioIMgFxFVURll+sP744TI1VYa0f8MEeJkO4OfyjBcO4dR4Ll02ricz6gixWjvnwlajRMOx/DN3x3zegfVmuB+PxwD1KDdBByGoSoz+dqUiW0mGrrsyzObXehkmvcFn93l1+4eipWW9KVWlhcF3GLwUR0evZACAqE6SMhOqMbV5uBtjsp/u4rb8chvn369tVJqxZOOivoh+QQWEujpli6IksiHiwjvL76mftws7zUb2WrcND2Q6eRJHmeBoj1aa3sT1KrtHN63LQgb41Bfq+IAJauvO8LXv2o3ZuWkcs5pgWdmp4QuMC7XDtOD7iG3kAIULHqL0NwA6ZDj1Ibl1RJg6Lo/+4Li6rzyEPtZpu/LJm9OV/aTClBphL+IUuwu3WqwnlEkWqaaNZWqbB1N63jWGcuMsQoA23feFWa2gNkyJTDp2lKoXiz8uGmHZV+UTtnrRouuQ6TrBOaF8c19JTprNdwgpSyjvIRw4VN/XkuKzSYMN7FANO7hAms8o3/wZ+RQ3M+dYORZbMyrBdrzJETG7dQt2/qqodI09j3lCfHK3R13Q5QNyxa5BlzddU5F0qzsHkc5d53uD71cwP+Nw3i2eDl9MVzI22YS1bgROku5TF5MKY7VS4fMlat6QT8I55n9lTuEY9QaMF61PdzgEAlY+vDC+20N7HMobuJnChQ7+ie365cyv8OWiuC/eIuR6Y/r43EecfBnDfR2XyFRy4cD0N/ry1EOarysh+Wy2rvAEc/HHYzle5sffui/Y0TsUUdW5/rfXME619zRN+omxCsanGSNiqu/3bh/NP/2oeBTlx7F6SpYNKc9Ev6se2z3CsiCpnfxXXY2KGzxK5n+e6VUdPc1fIqKQaevAUYMM+1Up76M4IscSf3QClz2Vaat+f48e81xmVdtHEz8YoldO81xGZvkirzt6m77vCETiaQAV/rkMV/uUlpvSI7agjbd12dQwP9k9BjK2GQhLoTlqiz1b0/bx+frtpUUxj608cVZGk8JFEk9jV3uRoT4c0l0W/1RL7xezYy0JOABXYVNKPR/3i5zGM64Q5VXAD8g+friIg+HCHO58LyD2YVSzeoy29aLlScTFR7n8YOSIhI9vlfqLsDjmESmJ1g0fYu97nvvr2ZWkNW8Nxx6jx4tCUMmebHQhfB7Wv55FhKpX5glPUGv9YhLiP3m2xh6L9LtPOitoTJA8OXBQAxCvR/sMWEx4wZx+lDx/fb6tEC6CqD6eekNG4Z9vDJ6hn2eqJEq5EP9XLlLwo9UFdBXzv98+/KZ/cm5yGhT011/5SMKPh/pkj8qd/n778W7nTCXtxelYf73t8ZMqIcsHORT9f6M8TSyV+edx0Q4+0DAlVARRaHThSEutsL+sKq2TeRTNfUo9+vIDxFUvmbsSqXZyUaw3AcYAB2IcPJ6+0hxurVKtB0TvAfjjQoTqz3woU7Q0Wa+1O9Vi6GqN6BAfsfjzjvMw5F4pG9NFuUio2mWmjsr9WBq+9p1fK2JR54k5KyhtVkcE8pwrlbZgNgPij4PJZo1slWrMEBAr+K/+PS1RyiV7Ezo9am5SntDr/Qh4rj7cm4bQgKp7+C3TwZgG9zNoh1fY2+2Pz6OGNoyiOkyYBwa29EMOesSrI4gm2teAvfNwfAxO2Ohzbsw90/isZ7mCrHVvVOBx1LJdnLx28lWA5v5BzJV75/cWjCCP9ATUsMe5mOdHzgW5SIfnDtY5DJ9x7ma1ZTdzVHBykTvznfBOlAK+jXyp7BIATEyKBdjdoEDh8kBSejCiVkgsujWfPhvJuGkvLfYPZVLJBcParteiOHVdb2gBMTRUEXo/UWBLVYi4AASfkXYYAnIYSTpezUyCMKv8/Lfa+nRV6x0CZ7RSKGoRE65YYlOv+Ut2xiWf0v7BB0TB/SrvvzVk2lQZ2hZlMO1QXldBWVDD0LcuMpf5wyNAYuXXEEGgrNQgT/ZV2xzpFlHr605zrfrmEnvyIqZ+0tReQsskrfCR7joiOW+U20hh1p3k+25vzBfp+qXo+0QFCJnXFZjaduOMqmH1Rdl2tKfUiLuge3BEyu0mI6dWYYhIqGj9X+y9iXMiO9Iv+q8Q/SLe/b44htZe0rlz513AGO822MbLmQlCVaUCzFKYYjGeOP/7S1Wxg23c7e6zfMx4eiiVSksq9ctMKZXSL2Gn3IseW83iUZ2x05srHHaOr37p9B9HJteNjttfs71f0Pjx1PvFUQ8vXnf02OYXZwNTH4weC5fDXy7G3tfb0deb5/Cs9pINI6dYej4r/nLmF53bM8B3Hr0wXXgeH47zTR5e5yJUV277CdSSOmiQ5Iqf3uRqyTys2z2N0i/9Z9IcJj4YNQY62PGFOgPRV0rm4dFDEeyYy57nd09HE3eOwlk2fz28PqiUChNfxGK5lj3eF/RQX8nk8tP9+j5856Dnyk0u+0n1uUxUrm3cu4vR1U05Vzn4yfV/c39bw6P7w8p94+jyThwFnYpz+XD3wAtDrr5en1R++QWUltLXov/1GHnP7i998yJYlvO275xGGBSlw/suqlzqr2Br3HlDjdu8P8btSgt/PYuOnzl5uWubcn5Uhr4QsFCuyqhkDrvipIHxWbdVuMSDr+PiMT5+9IvDs8Og+zUYesMKOiJBdyj7JwfdC9C77l8GD1dXgp/3nIbT9K9a41t8mf/61Xz9iisa/2L3lu78QVfjnjl5Yu7Xr8dYPB+cXzO7/k3oL/3x1/sm7z53Bge9o4f99snBi+4On+r3dMTzj+Oj+s1RM1t4EoXGfV8eV3LHo26nCDYTi1Tl5nBwQ5rPt52vLwPRu8kelTv5y6v68eBJOxXSco3gNy16evXLxf19WyPxco47z+Rr+/o5F10Pw/uOutfZo2IxH557Bd2M2HnQPPxFPh0eV0bNu4Po6vLpZNDyn8jxy5G+cusXQSlqBpfql9Z18+L2SJDnkVb77SONSZS/On28o2AfiWbnvlO4LZ7o58KFujg8Ph6roHnpNkIo7pdhvT8gl50gvOq1OjBE7vPF3YG8LKqnc4c9FogugCqfBXsoqDvl2j4riMLjg9u56ESimw9lH3TIy/yzf01v+s3zXKUS5H0TuR2ADeIfB6daj7/WS/3WsLaffZB2LyAw7BdxOC6Xrr3jcmtYEU1/aE4PQWkz16K7r5+sneu7d/i+5cp+p477j4eFoDR6OSVNfz9bGNSO9q/tvgZSeJ/fs9ZNoZN/aB1fDpu/nOQRqD/jnjw9cdEvnbtRbni73z2Xbq933rq1tsO5+2R6p50zMdzH+X5n1LnrFR0nrET7o+fTMf7aeCm7w/K9E724gpneuHxT8qwPcUf/0hC1WjLfHlGrBLpxe2jNm8T3+TBvsoBLw3AQHk18tNXxDbSW917U0SDxf86NOqBT+z1x+pTPJvPt8qpi9Votv16d1hKfsr9OfZXsyUXx69evdPj1a8f+4+MXd1Zu7Sh/nbt02PPL15Ovo8ujo+i51/PyR/WNZxFTUX/cMvBj1PD79V9TjNHu8/9O1U2jVu//miICpuT//pMfWawVbw/PDy/Dzlkj5weyq4Lg/sa/bKX1/fPRgfdCuqxzk2vjAoc8B4PaSfrsoCQblfCq74+6p4P6Ba7nSt5t9XxE+6dnrV65e+tey/JJTl3f9Tth5uiyIY+qpbv7UndQLh52SqLv3WYz7k36vH578pK9eW7XB23Tk93oKisqoxcV5QonZ61cCZQf7/6+MuIH94fBY6cyfLip0Sq5lN3RWYEfPNT2L68aHj7Yfx5evFQP1CA6K5VIZ3A8uDlRLy2vlK4WUCeo3J23gla3dlRst8dP/PCkc1o8laPKPRRx4eaOz/pBYXhxdXmjr/zyPXqMzo7Cu2gYynr2pH8ve09Pd52bB+RnNRCxc0DLdf0cXQ/ODs/c6sHFbcGG+ODeoG9OSzcldFAoHmpWNgfm/DYbHQ6quXb73L1GPnvxT/I3V+ryrEdO7w+Lh+GxODPnPODN6Kh75LSeH9zTi/uS7KE62Mkeq3i3t9fevSw+DsN6f1Qu3lyeFXLN7km5catr+Dh7yvVJ4PfdZgVdHF00O7ei3PHODseI9f1Gg+fb6V5jpHBDGafrXdbCFn8S5xdPaBCUC093DgfVvfU4kNen9c5DRRLVrT83Kqd3Vwf32fppi76cHBSD/rhccSrD5qA3KJEwyCMaDXT99qqQI+n7p9M2PiqOT4xfah038qekeMeOTw+zo4NKI+v25WOx8RBd1AZnxy98HyzKc6dxT+673WrzenTYinBxVLvoqeNW/m545IX7dz4b1dyrx/2Xq3Kue/jgH5qmgWHBR9kyS1f5yVNzdOPfRiP9WD4Ql/tXJRTp8s1ZW+fdy8OLZ/ZQOR4fNZ/Sd0/HrXQas/4ZKIqhudrP+aOLenF06b10bgFylDjT5/xioLtBq99JD/ZLj9mSo33v+MU9u/RZeM5uqqZKdbdSuXncD9wyH+TvLh4ebk5vH5wLh7hhVHlRw1a/1ry8Lp9RV9ydmY4uVN3be3TZHrq1s4YeD1pXzeETHZ3e39ILXd53onA/d1s8h9ylscztj0/O+vWDEasejDtyTGrnxXTpoteuHx7mT7s9c9S7aTUB/VCm2ki37rO5i0q++2gad1E60PuVm9pFSJ8en68jt08Pw7tW+fIxyH7fkcPFE2l/7SOHtYeHl7Ujh3Hi5iOHXPzwI4cB1oQJ7LClI4dLqXxjqtiYOo8FvlLw0pG/M6OjQc/Mzweu1Ld8PnF22m5z9pWg4MVeOOi+knUlLHi+paMoPjCYjObKCcT46KGGPxiZ+aFDHR/Z80234dkI3+44uRS6DsLOj7NGNob47HxffObwzyZeZWnYj/BT7cEPG2BmP1RDPL55ioZ+odw7PT8+f2nKknDTZ0cgacxzt9EinaNz0Hn3D5qPbrf63D7s5o6P0f548Mhf+hcurl3ds+zJGR3U7oOwcp/p9lHhsXDrmOCyN7zgZ73rZ8qymeFh1hne1U4aLnq89a5J/7gSmNPG4WGlRQvDUvvk4VH1H0o3NZnvV3MFUermShpFx3fCXCOuyyVzdl87vj0n6aPjYjo81mHB+G7zwM0NK53b7NFDvn95dFIZPY6lQfQEaXux281t6JyeNvt3I3Vw/+I/PQa5R5c7aTy4HQ9PTpEIT5+Lo1b99lnejoNScVB6LPb9TrHYzfUu0oEvD9tPCr+003S/XHkEsx9Vc43Kib4cqTpAYOVweOnminhYz9/epPN1Pu5pc1yQtx0fy7vuoEcvPG+E3YdR8eHmKp8djY/y9yQYXKMX1Bo81VWg2dW4L8BAK5eCh/OhuWRPh/ju4voUHQLWjAT1io+V44Pr89I4OuItrjqFsgiPw458elGyX+zchR236gp1iPvVTo527g7HveN0cz/3MKBO/fisccyu8uMReukAl5f3a/vHYXiuzi9vT8+i/cph+qCYL4KacHLn945PTkqXIPra9+isElw/Nw9GQda5RMfPVdW+Z7khc87Nefry8jw4fKw8nZ68uNfXLtOl51zzfryf61ausuYFF67vrpl8uikfamHudKd5y/Tjw2Xtrjt+Hjyqq5sIn6D+fekW1Sr5o3Gdd/ut4/ua27s4GzRvL7qdfElWw8b1fbX8sj9s+ffDh8eXIq9dje5v3MJ9o3U6FuODs+eL56qoH5ubXu44d5E7She12zu4uDwvVdMPCKNCOmLFoFjpGsqdJ0TKtcdCPlsP+dXhsNzmz8yR6dNK/eXuut48asoqTxdvRNUb3p81n45f6qf7NXfQuj1h3bTMDZsVOryqYO9+WM4ObuuXj57TC7JPD111clnLgpmg6q16PioBY/XObjJ39xKdP99d1prRNfVz19XHWuF+YI6OHtuD06q9ryZ/fBukj/zQ+y7xuARwf2nx2Gbsek08JombxaNgP0E8UkqJ76MV8biQyjemio2pi+JxqeDX77VYqeutOzVWGrCUNad7m/OtyMQs0HldEOZ0BNItTM6tg+zyBiA44XFykh3IGYWdvfhKi8j0YwkYX5Exu0TDtefYewa4KTLxzRggJkfrt278KaVlqyBP+kV0/nJHDxtmdEpl3S+3by/ck77GB0GXXnkjnwXYdIKDnuk3fH56lT7VLwfE8c+apfpFLSydPI/unr3BzWB8eSKvCsGFvnBHQAx6fHGSqT6rq6vHk6EyhwfHtYeLo8uTxn0tc9t9OBkgXa84h177yFQ7hTvUvxjwdtGUGI6u7i+GF6WTqH9UVE+Un5dU+ziwd/69pB8C/oRzL0cPxNsPSyCMyYWfvvGG+7jnl26vsTzs5Ucnhfvo9j70XnpnZ8ULdsauus2Tq4JuNJiL63cv3ajyyF7O0+ImHJ9Wnxh6HBwAHfS4eP4SDRr7pQK/O6v0A3VdwcNSUdmLCh5btLh/X9AXxdsbPHi55jl6e8bOjgJ5uP/U7PflebNSCa/d63NvXD1/GbMX+qIfW3WulSfuao/lZ+Q8PcMEz3dDochh/vK8mTs8v3L8kl+/ulGN6KDoFsclI64UCnSlFPjF5vEgesKqi/Zvj0aj52EvKLihHoDcDOXFw1U9d0G6ddW6LGVvsrzcfbl77hfkGX7eb0S3h9nnTkMeuOmLWrepO7fXrfujg4uHg3Gv/RDKyn3XeW4d3h0QtwomcuElfMxXabkXVDr746fwajA4D8VTN7t/dZSvn5ZLYaF6jvA+wc367aMzltmbfO3Uicqds5N2mV3gceCj3mB8fhg8PA1bcgRm1X6+qcthvVNPV19ucsHh6OjltFTSj+bGDHGtciVbF7pZDA6H/PLBrZ3i0nE1RMXL7qjKA5WrjWS95Kl6p/ikH4Lbk8O+dXsY91rpunl+PGg8y851cNyp36VPCqf9/aaTPX/E49LNy3C/d8z85/Du4OYIdYsFfizG1cZxp3dweYPIdT7fD2nhokF7bOwdHAbV0+HpU6HmRVH7JrjoBaP0eatxLtF19Um/PFTrveLBuTrkFLU0eyr28aVwgodbMZbsJS2OSwfXZVRjQ0Tl+UMpczO6SwfNi9sLFOaHd4XGeZ5n83dujctapR5ED6fu88UgbOqz2+Z3CsYFlPtrC8ZC+JxfE4xx4mbB6KAfKBj//fufDJ8Hj2H6hFwNB73zi5Nya/DoFo+EW3l0y7nrpl+9L720n0k1+/IMwNF46Z0cHTaertxh6bFcPb46J8FtaVC6eipndVuVWPny6qV8+tSqlB5OiL71uw/FDOneXT4WHi8D2bzYrzVRtUMcVssIU2tWWe9ApIf5bNYt0FG57mKdc/ZHjuPisn6u4FH26bQq6Qm9TTcL8mggylceCS7rT33NMuHD+eBElffDS3TgN8uhu1/on3TFZWEcMYKehDe4urq+uerfKbk0E2BoBy1LLWBt5DCranQnLPxlPk/wlhOFeY6nkcFSr0wU3Qf7mHx0ghiTjj+E94NuK9S2mmuo++fMmd9f/eZq4LYbsdZiadmOQL8JGrW4U83+6M5cPZaws1LgcodtBVB8FIG2005Uo8l7cqdpwxLEC7tmXnA8UR/z/eNafNmbVaieZ1/5IJBqL2z6VVVH7X7y0dMBHtxb3z1Lwsj0FgpsOCeH2a5mg8vJu3lqm/bIwM4koF+n2tFtOxjHYVSHtEC3G63xNPG20Wo1dNuOkGnrhiXOI+QbTZIBNP+vF7Y9HfUzHdOHXPbytHbX8tRvoL5G/YEPvZ83uHFMr8VJiZUU5O2Zp0EDFJtq04ynTDdL6/ZCrx9CowPdioyl5tN0JFfQrXH9EA43oxsYO/+T0O1eF/PRoJ6Vj6IvBy/9/nNUztev/JNatnPx6PeLhy+1dEdflf2Lhyd0fty9r3duolPHOabN4/b9rdM6vFbpYrH1mFXlKydXvLrE+yfDk1rzuvQknvOZjhNdd8+zQ3M9Bi0wvLtklXwtm3nOPZWPQ7pfOhg9Fs8v8vzmuN3qvzDRadzWak9OelQTT7e0NaoPD/rl2/IJeWpWxEPo4YbB9+o08zQe4TP1eFG67tRfzstH6eowCI/cp6jZyZXC/ZzoldHRzWX35jh6C93YZnSjW6IbIZ69bRa5fwd0AzKFnp7Ol66umYb/HBMtSibPSg/it8CiT5um1tP0reXvaTkwayd541l92qdPJ+nFD9Mw35RgmAlJkZU8a9m/bIGRr6Dd29ASzRF8rcY3AP1NUP44vr4C47/b9nW7Ya8/HV2v/5wd9Ot2pCw1oNkxqQDDHscjXpe6/hy1RqNhMO4gNK55DS9sPHZidje9SUdnvAQMfdkLhw3fNgkQa8KONwvJv1ug1f4MdTVUDsS0q9uW5ZLEpE8zrF3u2RxrpVRSUOVQh69gbTz2TAjC5lgL86FfbelBx06jhTxYwMDEyYCFA8sMGCcs3JoAo11EH/QmD1G/17C9+s8XbxD1w7Zt6QSsAVHbUVV7nunGLURWEHuTQqf9aEoxuNtaqH1ITr7BXvDKEjUhaPb0OFd2sw8iZ9esGrbJfahnSn2gsOXvBki/GKaSrYpE6Mw5sRpBA3/9bZkd//0qXNxEyeBXw+7s3XLWGDkWOX15/Kf8vmn8FX1l/NmirIVxAXZ1G62GFZn/+WInSLUfVqOuMZYnEnEPPbBXqQ6Xq2AIxy+Sdi8Ax3++uINGy7Yziq9YtSPbsT+qq8UnxJ287Gro6bzKRgfYapBoHWslWkDtNza/sHPJbPpoVlMAfF/3dM+PkibEq2a6BTwMn/32ny8TNrqCuk09tK2yn/qxBIP0er/fjX79+lV3G5nJZ2ZoFQmbPwPM+nUp9esQryT0ANV6voXbJSaD8hLl64uMxqHvpsfH/WA/HaicK6i8KXdv2rYhw0Rn+e1Ldkbzgk2Dd/OUI1D8pqlFq8RMH86M39DTh0rDjKa/rxKoSx7//fu/7QgMQdNqdGK+a5t+PbTEBKFjiejHY/Ah/Ah7Nd1pvEzE4JezccEfAMaFvdSVFf8wcmEsMH+bihM7d/qNfow5+1TKbOpg0PG17R8wiV17vOra0QZRbSaxO/ft4uVlslg53RzcQpKsYypAgN0aDEcTjnwdAxZbuyQAYnR4A4CSEqqgavRXinkDMPJJYYuiesHg6dTCev14BScquN2tPW3ACYYokgviAMgGunOyrJyMWkw6C/N4MtiDLmQ20xIkxgpx+vt8mE7jBeUUTpUGjZd4OTppWChxUJCLDSvggZbFhnJWGqao4lxQzuQbDSOzhqEMl5Sut05B5yimlIv11pG11g0KQaG72LqD4OaMZbNsvNo6pgR2FKbOVmRDGSUI39Q6JQQoYnhD69hq67qF28AUl1pXi06HJ7fHZ+utcwRTjJM3WodmrUs0lKW2TcX2cpP4apN6ddcTbLFJxfuR9u7uC6v6CAwmokI6ajs+QxmHyw3MBsVg4DfE5ELrrhJFH8bzsmeh1DOr7ZworwvtXNRLl9oZQ5eCWj6JdNPG0bXG/f6+zI+F26RA3YlGNiRzbMMHxviuBls2/s6+mONT2APB0p89Tw2uyWOi+04eWo1OM1qw5i0GAlS3wt7E+P3Pl7p5tqYcyRFqjS/z7FkMooQD2zL7jbW8NHGVQBwAH/6lniOMx5Q0CKhJXY87GgeuBFsQiSAgzEgAYyDml1+ByJZGF13TMX7qWkfWOO/PBoJDLRwmtT9Bv1Wzsg8fTI0g+3sisM/t/1lCtFq6G9mBnSoTtq0EO1h5xtNC+sCQBDFP+YxITShBHiIu9QxzXEmI4yIZ0L9jW6lCYpu24qW25nXLG7TsVElNNi5fbXiAGDU6wNoo3zUau9gXwpDACxxj488ji50SKe5yYqAzf/mGk6ThZd2pmVTBb1g8WWy5kIBnZNLyWFGJFx700LRShWfoLkhxa0LZN9UYpP6DcweOQzlJH1DM0gxnRVpKWUgjih2WzQlnPyt/txqA7wNCwTT+cmmXQ4Kw1x7YFY5ff/vtyz5YUuNUdmh6uma+/PvfdkWiNTCbX05IYLDLGXE8FyDGp0QoxngALEikr7Cd1a4JPI8bT3ouRdRsSwIHM0zUjyYB/fWSrJHh//z2f68BW1v//vrb/93X4+jfoF3tUv/kqUvMSh2aYcjhkBd0iEz8gzkqQ5CY/seBJCJtNvsSLNMMU8T+JEJkgPlsImEZIjk8JP/al1xmnOVCmMQZrOAH504mLozY7+KScAY0q2kRwhaJSQbPS6Q2CcFncimJUJlRDl5qKkcZRpcqptAhx9YDmhI0aik7FQoaRWf/sc2DLlI+m7dEQS2OEygn4B58K6VRLuOAW1oTpHkAOjphWHPQn7DvuB+Zt4z98Hm7xZzdzBHT/iNtCCci8IUiLGCudA0NPOb4gnFtQFvxHa6oo5EvsWAO31LmOATsG7aFzCFLMucq7PVThcQUfUPC44CAfkp5wLUE655zUHEN8gj1qIHqqXAlIxxzZlUrRfVO3uzkzS51J2928mYnb36mvHmv0VIywbdoNF1qdEzwVDkcvd5gzakPdA6w8I3n+o7QPgYTmHLJDLAKcKZESHow+hysY7Ht0sKfr8HvTgulMEM/eFrkiJVna3Mj7jYkbvn3f65uctcX19nT/8JI7f22JPf//d+rasHHCnc44RmgiOIktsNn0xFz12fagOqAHEN9aRxPCNeVUrtKct93HBdhUCiM4zKkArUt3SWBMXN+MN0v1mm+SES691uCTavEI2jefyl9YYxinmcCVwUc9Crop/GFL7XmGBEgiauRQwjnQIft+w9S7UerUe/0X73WfwpiimcUmVFBcopcaQLH8UE2u76djAgZmDra8ZkTIMRcY7AIMBJMYb41FQAa/6jZt/3EW51aH/pyQkHhsYAq5QBKOTCFWOBh7gnNNegfjksBNUG0AUu4QFDPY1ur41Lw+ArGPzt+vcJ3PxDVpkz8OrYJoTDIK+Z6kFP4LmCZ9iVnPtLKQ0wLDyuXIMwUDJwR6CNj4sjdmHzTmGiJXIARyYGY1FNUYBRIRbFHfeoZzAPjUUU0oTBA/vZmqxQScfzDLfd1lFnFjnlPXSMczxDsEulpD5R+5bjEUJCyoOD7yMEOdR1GCEAH8YW3bU8VIuqHI8IFXbPOX++pIzXTijhIgaxEhKBAUeK7oEZgA3IQeg1mFuEO8gNjjN7apFFISCr+TGNKCIa+KSap42jgViU4Uq7SASgIngO9BGvA5SywG+hIM7alWq0wDKnaQq1mS2p11geaNcIO6NbTvZrJ6bR4ykZva9zWpgFdmgcMMWkM4y73DMcaUWS0NGDX+kogYRVyzMG03mncO417p3HvNO6dxv3nwK8/pXa307j/fGOy07h3GvdO4/4ba9yKCIJ/9Ew8eVvzwXu/HYZ904rW0EwwkhHOwg4QjKAMJGFuYJgMfBWwADOGoKrA7pwFDAfUbgcxGHHO5LabKYooOaPCW0PKP3FIHdelLuEeDIERdu8HcQ79c5kRLrAs18j1As+XnudTAOCtHd92Q/r3G1IqqPOj7ZOjd+2Tg5YNiLo+pgoLmUFzA4VxUCgYVyAyBRHIwH9RwFyiXKFBp/O1YD4HDOO+oBok0LZDCsqJQFsMqVga0oNGq296KZEKeykn5etx9PoA+gChxPjAh5Jq0G0ckJB+oCX8zx5rQJS7SjjYCywnUr21ErobwD/5AL7XcrAIHbK55Xyx5cu+5nl7eiFlD2lGNuxhy3Rq/fobjScKtEutXcI0Zo5gImDW+xngQivhE094PgZ9BdRt3/eF+Fs0/p2pQ0BFlc6qXnl5jVemyz5H+9LJOekcOkBpJglOK0ELaZ4nTp7tO8g5ECs2G/11H1h380KE9Vj6q/7cuD7yp2jZt3ZoqtBTYp2dXCal8F1rRjqIu1JjhwvLJlIo5oOeIJnxSCD8rVlMKIFX0fmTWCyH8SqLgQqROtUuaEe2l9h6iln3L+uXZn2+4H/W7cy6hNkTpB0/UT1Wx/WbS5mtgRGukFEeqCjaAxOIEaq4CISg9owxcWGyEkMIqCqB76tt7UACpjJTP4iY+TeJufflatC2h1OtM1lMlL3YpW+PxJ6BeyR2/dtj0tJnj8Yk2hMxlfa4WCXUHuHydZL/iLqmwhcBIYhjD70YBayMdOAoEVBEFIhl1xGQ2Qt8AhZg4IIc3n5gOJTzxwxMIks2kAvHTLunYmrFD3zPiYmFcUwsuUYrgd8als+uaQo9vvU4JL7xBPXA4hYwOaRC2oAuz7kBgYY95CqQb47hvgm2E80ESVBJxBaiefV4VS/Viw9jp7ww6r8ulLXPKdGu4+NAI8m0xp42BP5xWADPnoMV154G4wqsFsff1tl9J5R3QnknlHdCeSeUd0J5J5T/LEIZU2DS1RNol9dkhZdyArMCZYW0yDr5tA1ckVa5/H5aIZzLHShW4Ae5ZV7Ki18Lr27Z/ymE0U4orwhll7nIEwxY32We0AQTXwQeE8pyGiGC+phqjxl7kobgbTduCWYg3Vc30z+JxfJ4Te9bFqdfLrx+6Jpe/Ps8HJr29GHfePOHrcXzN5U3PUKpsQHssWFuuIMwCjRRnt1N1YIK4moMdJUY5jThPvfQtvtxBHMs17wVPonA+28SeCY8LY6Vk0hPS1TaI4Q5GbpErD3gCJ7BfIloe9ihIsP5Bugmagvp/aMbMBlCLl1fIEUCl3BGVUC5j3FAKObaAXzGkkltD9spJpD2zJbbwwQL/mrEjCXpsXyaLDnnNNkScMepQrvbCsfmjYNlPkxjxZlLhBMQF7Rs4SnpeB4lJCDKx4RqUC6Ilkxp6e3EyE6M7MTITozsxMhOjPwcMaK4g9dZkK6w4AHP0YNsgaQPOHeABfdJWjHG0sShdF/to2x2dZs7z0GMrDu8/dGYuRMjr4oRynwbFTKQyDCfGOxS32faxpo0mmkPCV8o11e+9fdRiG/rXEkIzFqy6un0SSyWX2exFdjP9lowdVMHgAzNOCE37oWdVDFsm5f4Oa8jM04VWwAyiQjI93SjlrrqGwOTOYEa122YhU8KrYbuaICuqG9gtnbCOPVAdzrj1JnuPQ0m+Yom7AFNDscdkzTmWNtwkblBrx92kgSjO+nTcNCIUtmB19KN3iQ5ikzqom96SdGnBkrRyc+B19Cps7DTC8dxwlmj04HWXRrd85L2Xo1bQ93opPZ1OIj6cRJAjQdtG/h68EGxuaPf+/SbTCDX8XTAOEOORppylymChBtgx3c51thzpKtdrUHm0ABhvrWaQEBMkfXVx0+ZQPtvTqCZlJ70dJUf9gR1nInsXeSLPVCTaMbBa/yxJ4SjMoit8ckepNMMFWv8ssdA1mWk2sw3exwLMqlomX9A/MchXJaZaA+EP8owtsZMe5QxnMGv8NSeDRqVoWyVt/bsjkmGkgUe2xPIRojha7y2xzB2Moqt89yepAhNqLjCe1ABVkkQnCUehN4hnEF4TelRSCAOatP7itduSP9qQzo9WOZLozX3rKuq62lGhDaKuhyghYvAN1QaVwsv0J4IJEdbRn4BkIGeO1uosiuRX5bcI60yaybKrP3dDjtveaOBXUWk8jxsHIY4IlJQ1wTGQa5EoKEzpLiPtCMl6LiMutvGhNlptTutdqfV/k/XynZa7U6r3Wm1fy8VaKfV/u2GdKfVbo2Yjti0XcBWEdPh7IAiks7mCjTN7E6BpIVsGtQbLLP5PHEcutvy+2v+nM4WD1gpUL7neVRJ6msReI7RAgtJGPc0Qpwp43jUk0gT7G69HUCUcNC6UP4UFvtLbfn5DhiQkiEAW8cx3BP2hlassCOQ5xlXGeUq6UoKxBfIIVv7ywKAIrbu4vkpBL5e9yT8Yr367M0ec0H5sT9LoCU5uyxWl4XpighdEZwr4nKTkFwVjSsycUUSbhSAy2JvJuxWRNyqYFsTZ8tCbJlHFjjro+ScUHS+o/lt3883P7/t+yVJ/A1FrOHqjsl2TPbpTDY9ru94AmMFECw40r5ytM9dX1NI8X3qCuZo7XJmXM8Y6ntbH1kFeCXiB6lTuTN7s/0SFH/fFPnz/K3bVpM3i4mzYV+eusnfQtos38qkTv4WE+c5l+f7Ssos2woOJH+LibOcmyAi+Vt7M/tmFUKSv6XUWd4VeEn+FhNnOVeQJ/lbTJzn3ARKk/xrrxa+WkStafZZ2izfDM+Sv+Rx/nYZ5CZ5FhJnOVfxL/lbSp3lXcPGtbRZ1mXUTP4W0uaEfxVPF6BxGeV+YJYfW/ouy0KWD3+6qtHssHqH1TusXk3dYfUfjmx/vyzfgtXTaHu+5yPJmaSUCUSxJ4XHhe+5YCoYXxvqugZLynXAA8ndDxgGFCn6YwyDIrHFbLlGs2YXv0ee1Vm0EfunJW+C++m7jRA/e7mG6gsvN2L59OXr8D3NsRmsp283wvP05UZEnr18HYTnWdYRd/puBWVnyZvgdfpyM6JO327C0IXXm3BzRoVXDOutl2V2fLXjqw/x1fwcjO8EzPeRSz3BHIwdhr1ASMYDbRyfYeULeyBBBm4AkLs94AouV2+2+3GAu7RV/LMmCXEwyvA9oJjKILqHFbax/F7dl8ZM0Yyge4qyDJCGEodnCHt9u5owxDMKyheUZhDbI4KhDOKvb2MTLHkG74HglBnrhvHGxjZBCGUE21NSwvs961yXkeqd/W5CMMkQDA0SPEOhYcTWx9/YB8ecE9tHQgj0Ve0RqliGOa/sj4NgJ3G5wIc2N7QKZeTr2+bYUcQSRNq7JNle/ITf2UwnCogILcLUERmh7KDwDMOvbrIT4iDoBnwkYeSEvfhy08Y75lJllLNHbUBvRvYUhzEVr+/HY4wZDBW3t1JSGGkCT/iNXXpGBcs4DtQDVWMJhIQ+i7c277FUMhMzAZEEMqlXt/PtPX0ZDmVjQjIKCCgYy3D66jb/LHo5AQ2NWE6jSALLY/KKU8ducu4m525y/nkm59Q9xyUceY7PsTIaMeK4vsM1JRhRVxLl2giiQDqpiEKOEFtGbCWUIPhgC/ec5Sjtl9c8lcSb/fJ6lGcGQygQWIDaNx6jAcYCBT5oGtbJgSlgMuIBX2pjPCHRzgtn54WzdYd2Xjg7L5ydF87OQWLnhbNjsr87k+28cP6Mf7ud3S+7nd3dzu6Hs/zY0ndZdl44O6zeYfUOq3dY/ZfKsvPC+bLzlpjn2HlL7Lxwdnz1Z+OrnRfOd0+S3Ub/bqN/t9G/88LZTc7d5PwrTc6dF86qskLh8/VtI76irBTyhGXz+zwNXMzTTPJCWmZVIU2cA5K3+1n0gKwoK/LXAuGrysoC4P1Vf/5tvXCI9AJNlXFcYaTr2TsVQGQIowTgKkK+Io7HCUxfGz7fcYKtWQymo1qP8PgpLJZfZ7FdhMJdhMc/JsIjQLEP0sSjDneY73LjcQSKBldKMYUDrqXUnnV7NFz52EXbTyAbfe3HTKD9NyfQLBzgYdjfyBB7VuZlyLpSSYAIE41tRXvECBQcZ4OWKKwOtq4SYpBsGYpf1f2UysR3W67qeEQ6GHS6dXWOcLxBaQOZmVHyVfWMgAaExZoahh3QURy1pHIB5ScdXNGtgBMyVG7QooCGoN6yjeqSckhGOmvKEeHMKkXrShCjFFtd7f0Qj7sx/cuN6RRoFGGu69DA8QOsAqzdgAXGIKZBWfU5wm4gkEeNBpVRuXTri6qo4KBP/gigEZuA5mwS/vG/sq3Wf89UkjVjeMeuf1V2XYKg3Wj/zUd7ZkYg35VgnCqtlbUcmPJcFnDDA+pprQ3SMkCOr5AHhgTd2pmfOkqiHwZOa8vqU3Zdcq7/Jo4FUM3INX7FALYZsmF5LV6y2MCWgkC68wpXcgV10A1Mqezlb3ydJx2BM1ytcyVBNCNeY0pue7LOk8Su+TiLLEmYyqh1hnSonEzdFX4UdkVHbGRHzGWG4TV2xFygjFJr7Ijhg5gUm8FnN5p/0dGcaj6Swp+rjSG+4cYBcypwfZdKB/ScwBWuCqjhniNB+fHMXPN5Z+GOS4cKtnnhTiwu3KGlhTuaivkqtRzlOkp5dd1740Z0qogbwB9TXBgCUOm7OHAl9x3lCxxIo13XaMbATnSF5Lu1vB/2c7eWt1vL+5utRe3W8nZrebu1vL+ZabVby/v7jeluLW/Hrn8hdt2t5f1PGu3dWt5u9edPtPqzW8v7O43mbi1vhpB5W3oq6/srAAmcqeTqoa04s+Xr/rgbfxx7E+dbMBymFxcQ9ce2twThaeAfYrDwdEABwYnRget4VFDqMV9QDxENSiZmSCptsHHhxZbNk47ga5f2fkPzMCHC95CPGPONqzFylcE+lmBsMxlIaYSWDncl4sJ3A8fbkgUUVY4UW7AAXmKBfNju6l7DTrp3Rh1RhhEjnh1n45oARl0zl7me51JFuesGruf7yCfA8w53VuXibtR3oz5rN0XYEXJ12f4byGowpoRh4hnGiQSDUjgIwfhq5YKmKagghBnXEcxCUqC3bp5DCf0EprTt0QSwXCgUCB8jw5XGEgNvaoWx74MF7GKENENGSOZuN+oUS0Rfu5h0adTJ0qifNkANyL893krTwPcBtbnwjEuMj7FkDnUCyjGhnFirHbMAiIu44wR4N9678d5AUEIcrFbHe6k9E6LatAVKEmfSLgZk8oXxuMGA5gobGHbmcVe5yHUY14I6RhIXUAlrDF3Ytl0CVCv0Pe2SwG7I9RU0RAgjDYEB97nyPEcEDFEiXTBbPdCJpIsAnldGuNsz6Wjgthv9pWZRMOtYor/ZqF+pke51Gp2a1d+TkxDIECGx1i4UiQPmuVZl9AkDTdvBBsbFczg0iVIjtZkf25zVGnqgIqd7phv21mp2nKkAAR4Je5azSI5QG4kw8sKuqXphJ2jUIP1IHV52yGO+f1yzJ14Hkektvmw4J4fZrmaDy+nL2KSdvGjTHrEnVuPuR1Ej7MxeH9NrcdqnTycxn3Ybxq96YEtY0+c/lmRe3XjNar9huXreboLUO6X9nhhRDV/3IYPt4Yqma5N6BnK8zHIYsNwhnQDzNjp+Y9jwB7pVnaT+9uWSQBsvbaTVizje6mX87wW1ySfx7yP4F+qNDJg8HTAnoEz46Ne44OTb2W9bxPzF4oMtcPZwsvjmaP7w++/AlJfX+PVebO7EcusmpZDXSxHbl0I/pRT2eimYbF8Mf6MYtF0xUI7uRCPTs6wCDwn4xpyQwK9dd5kfdppC8kI51bbu2oqnmeJipvkWHlhcoWXodlv3xsl0XJwK0GKYjJ3qKOw13TBsVoeNsBX3K5pA+t6Xnl18mvbGgS/aYDdXIwOT1I+qrumPDJSwlMtSwhZZbTc6g77tGsb2rFoP2t8AMTfNh1aTqvG869TiVzYFyg/Cnqn6jajb0tADZ9LiWcl0Yn4CaAw6FoN48hxVo3o46tiE3yff9MOa6ddNz9Jh1uN4hjtCKCoVT+vA6DQz2EurAPG0UiClHM8FQ8BOxtlITSmfnhA9PR+4t+HtHaB6FeDehMVZX6K+7g9s82yKJWPS8Rj1Lew1OpDD8k/SaQdUAJe6ac4NTzNHobTWgW+7z5zA00b49MuUdAs4CW8lsjhZNyDewCqPGWOhGRNVgSAiUrZJUea5FT1DUS0d9auzr+YC1JGEst/tegbgcthumw7I2GrQ0nG7p+scHLnG92AkGJgPxg+IL3EgiU8C5doTh2D2ICIl8wTHjtJqp1bs1IqdWrFTK3ZqxU6t2KkVO7Xik9UKnAgsaEmvD6RIzcdgWWoRIifrLJ1BqzVd08EKSaGUktpn2rBAaOJKhwcgkbnyDVRFAt+TzEZNYvqPrHMimBMmTQEf9sxKZRxTtbSQVO0M4g3FXxeQp9/oxytMq2Jt70s2a7+cfgJd7IbQJdfmhknXm4AY5EjG/1rDqxQwbV8D46Vy5NcLYmdRYIzvaq8JWQ6g06l8L5E8/7YFNjqAAq0wgmYjGPdsbrFK8l6V+7rRGqeyQ9PTNZNqRCmdSlpxaLSfTIjXat9baXej47UGvolS1KEZhhz+Td8SliES1CmW/Ptt9auM82G65RfpRt+jG4zNJSGpK9DkYuX2Q1XtL1bF3uUKuzkapXrhyI7PsJFk3YouC19OiXN1c7YYbuhD7S4stpt/pN3T2rOVQjlbLKQuglQ92XL/YBMOFpsgvqUJlgBQfdBq1Or9D9dfXKzfea/+JGRL6sr0U/mwB1Ddb40/VON0H9zhju951NPCk9guO4vABZtMIoyDQGkORpgHAoh7njReQD8MqhxPwtHNQVVTbJSrtedyhAmWRmLmepQExjEBQK2hDicuYoJSnwuzamPtQHUHqjtQ3YHqDlR/Dqg6SIk3QZUvgOplYxj24wn+cTy9vMapJRe696eM/WRf93WqkrjobfNN2dSAopMvUjpK5S9uzq+3ri5Br7r9LuGRpKQfi/uX1+TjpCEfJo39Zk4XmHpbf/VJVPkYql9e049ThX4DVegiVQbtrb/6JKp8TABdXrOPU4WlVsODbvfVx2nJvonD2GfR8mNCsfdROk6DKf6crz5Off5NnMw/hfrTLRbiOp4f0CDAnqIBFtrVwp5ACjyPBThAMrAeRIxBuVIi9mHp6GC6Kh2NkYHxqfKV42sunMDzrSsPcykDGe3AF1LCv5o7RAUe93fScScdd9JxJx130nEnHXfS8ZulIwV7823pKBak48zP94OSMXEGuR534xWxyQhsNXbJlzGfJMcFv+n7a9v+7T79BGH3R/f2j/7+A9Re/dRO0Japmc6HlwA/Jnn/6kO0FZ0+dRZMTxVwwplUWJqA+hx7gjCjAmY8wTByXIk1CTwJb11HK+KvnsrbAdEOiP6U1N4B0f8QIJpoYVdWCzO+dVBtdNJsBYs4QtMjTq3Q060Vz8fJ+8j0hqa3+o4x682p+y0dVaN+b+D1B4B13+dEVW01bOd/2+DoNvdes54/SbXf5LmU+EsNejNHPag6NiFMNGjFWKu7jcRfTkftvs2x0Xu0Z7TdwZu5PzHFKY470gga8xdAKcyEPS4KHGgLm3v5TdzA/Mb1QziMJ0utp/2YhgkvwLziSyzzD78xTHnQ9ej//Cv2Z0t7uuf/68s/N79I1w2U14P39vxYCqf4V55Kiv7HV/jin5N/v6tU8kNKpT+kVPZDSuU/pFTxQ0p1XikVYCPhvgXGtU7fwnqmJ/6DiZVmnQxMZz4tshZSzLP1br+um9RhOeWbLmBOGzLFqAkfRGHsGQ0wpAHy+pCtn3g8mMTjIZW4i0cpaFWYCjsmZTEkdprPpCaltnVH18DyHoWDlp9qNZqgXYVtMHVNq5uKJ6O1NfWkKKhE91PdXjhs2K3bRscGQolnfEq74aCfmlwtBg1pdKMkt/VDhCZGjedU2Eu1QXNL+XocZb5MXEcTZ8m4z7bTE6Q/t/83I0E+RgVoRj+2w4Ne2I77a54B2GwDLQpAc1KxZ+zEUcNuq9tM/1p1BPnXl0VCnIf9hmeSttr1DpL6L/tV0OhFSQIUY4v/7wnZ42WieuKNEfdiLpQnvVjoxmseJFMg4nM++BIb8m0TRTAgX6bhbSZdAWHXCYHyVvxBeyaEyCxLvlm5p4msmz4WdK9jGdBWVg9H1aBnTHX+XXJI9d9LjXq7HCsLk77m5l3N65Y3aMXsmKylbRg+b55nQkjdTway40+Ha9azVbrmFui6hZvMtDfkdRJfT6tL+aFJKDwZKmCapSqAZbStZHn4P0h/8hb95yTNrbLPJkeeae/w272LsacXA4JnqQ44EDSA1nFJ2M6YGcn3Ui5MYE93gAwf7BjermP51zu27mX0vR20Jaqf3MH9N0Zu4gL13eNmy/kp3VoGBN/AtLCnGL78Y9D65z9ajX8WOnbF1jZjMilszzfMm1GjX7eiweZ8GoT9RFy0NQBwJmULup4XAa2xYmgGE/FHejLLPehEytURkCOc9N+6E8WyJnlp4wHZ9MR8SoB7vFCLHzdNz1FjAY/ccSo+TWKlybxsSN1Q4LtAO+eJBZ63vmmpAjQRjKYF2XaVyNUpEkGN//oyzQXkg6HWkQf4aBsW9oArNmFjfgEbV13htpA1ljhJDKwlIWqL0SCvLTBGcXFA541uU98rep7brbgjrSZu9798kyhanHzx2JXD0ZzKYKhZGTF9YSeUpbkb9vthe0n0xFy0zIEJL0Rdq3tZ1kvUickkbMeBnaCEqe4D6fbET+qC0E1DtZ9daegGV8KZ7Mq8M2gr0svSeN7iuOAPiqjMmyM1J3Zucyde8Wrcvj/zskC1XBiUWRcnVUyAJ9mLiVk3+WDdjfI7u/weDO6blpkC1aAfpmumA/Bip8o6FCZ8FGuvMYdcEgrobTw9AGW90Z9qefbMF8z2YND6CNIU5iNiVyUsykJlU63MYi4w5mSsNkyNCZZO5Mwa7oZTB9HX2H4TqxdeYfW3vE+3RKvvZZRp5+J64y7+4br0wWcPYJIyHb6Jg+2MXNsM4ME7A7jmu/uTRm9jz/7wASzOiTXZzxbW5HVipWE+XJN3/Vgh6duBS3A77ABYLBjOIwOid2I2R2ZoOnE5qVaYGB6rY1XMrlW/6ue87egkRnZSxgSTItP/UbJ/e0r/+62zHYtreyvlWDJXTC/eK/8VT1dFz9dPjixXOC/pMtG/kkYlZ/Grk7P4m07df+uJ4/nJ4dVDtmvngldO3a4eu0ebTu5ueUr4taPAb5wefvdc8zbHmH9/40juchCA947MLx4B33xMfJsj89uW8vaR+W1LeefI/LbFvHNkfrtiPhRkYZs4CUeLARCWoiFcvBo0YSGcwuambhvKIQ4C8OaZ7s8OWfHOsfSNgQXYYiyB9SgDm47Vb3NC/tUZtXRWfetj59+0NfTdZ9W3PZL/kZ2x7wod8HoQgN/f/Xbzqfvf17a+ZhsFk62Bal1HdudSKGY818XICwzWlCPmqYD4AUMuD5BGAvvYJ1K5yFEOMtKDN75DbXhVjHzq2SaErRY09tNKtCM03XR7YvVXNt3IbtPtr7vptnEjSwgb8+ijG1nTLSe7nQJVgqU8DgdWC57sKyUbUBNlKDWxuCf7SwubXFb7j1I2dro1fuqgXKYTk6Zreo3Qz6Qmuw5zl/zIVpLoZnFB87b8rygFmBzFOksmlQ2s4jvb/LJZFwrZi5s7aoD9PilLg3bca0DxYIu0B61+o9syaa8e2m2lebFv73flra430f7dcaplOrU4DP1m0jXi/T/PWD11gTLLy5Qp0+62wrEx0f+a0CyTOjSLO312P8NWO1n+mn+etCOmrX1h4TkhcWI1RvEambVZoEHjpDLIN57s9b23KbZ20GHLRfH5N2CcGOjE1Ha0Bc5HaGqyeJu8Qz5npX9x32v9DMaW3Zl4Iv/RXVlYoX71aMjn9yiZ3o2XZOU9sXR+RO/2lwfqdT/uLbcLV3qztm+4uF6RwMMn7hEuLJSP+tzvLpv062uTs33XhRZPtk7+ZcmxuBGeGkRTsItXJWb5LG8v7Zjbki9b2ktejqNkb7SfTNBo4fUCvKzmTDjlI8ubSzvNvVQPZIyeLdxtRskFpAPgb3Yma+PTZSNvVkyyKGa0V5/tBCyA3Xt70WuHk74fzsjPxYBcbrk3nwlnP7sr+eWurB62+fzOLCNZtHqo5PO3lt8+b7Y1jpG/DY6R78ex+HaWV4HsXzHklBOs+B4QW/SAiJewJystwDiFibL2UTSb7oEvOn4t4NlUB0z5g95sa3tdWd4AcfkliKOfDXH05+JCPrfcm8+EuJ/dlfxyV1ZPtH1+Z34KxOX3l7v1CRBH/zYQR78f4qYA8wbKxZj0Pfi26IOxtIZs+WYGRfC7PbllbRuoi4zZ4Ny6CePcXtg0nZQ1h6d1vOeBsXZa+PuRjf1cONjPLfdm9SDzlh1a+uwP71N+uU+fidY/uyv7y135XIV0U2eW0XrtjPkndauw3K330fqdDq705dPR+j1fx89Ea/ZtaJ36IFyvKK3JDI6Wi/luSF8a5+lB/Q8i99zJZhNqj+rhBNuBY+0VkJObN9/zKOp9Lmzzn4sLhfwmwq53CL3nMjf58Id1B23pEljY/9wOTfxRX+nR1C31x3Zphfm/XQz94dx2sNyTz7UZNnXmp9gMheJytz5BCvG/jRTiP0cKJfcfr4mYNwRVMsEngio/OTeaSIqJ0xnIjonnUeIVtypAFkXE9j5jS8G5Fnelv8VdbH4IZ2YPbnAX27itn2ybrmzraxdz5DOCfJ+7kmPuKy5830WGOhhz4XHKleMTYyTWgS+173qIE4mIr4HK9iTvyrb+d5e4sK3/iLt5uXlbn6/tDNtrIylyXt0Z/u1LjWiXETcQjPtCIISfmXWAm5GKckcRySRhwjo/rZCKI0dqbrR2fCwlEczjEhskicc5VoYppnnAA99eVqCxIxzDpCaIeRhxF5LXSeXZ2y0Fl0Yx5LiOr4SRwmWeDgIWUO0KBRW5PvMdTgMo3JN+4HLs+cyVPtB0iVT5h9rpB0glHYHfI5WSzA1owLQlFd9IKhv9dZ1UnssCJyDEJRoz16ECecglIkA+JkoASwQwVkho4EksBCdKKReIKpBQTGIs10klqXCkQxFxfYIIEdQIZgQ3Ptc+9wjlTNnbEgSibqCAQIJw5Dqu51KfGY+qJVJdnmTvtycVJcjebPoOqZRyODPAD69ylWDYWferocA+QvmYE6yl5yNmr9j2A0pY4HnQOR/6DaykmeHUoT7iWhkXXhmtqEc8tU4qB/lCGsfeegqzUGLgQM2wqySV2KeYwMhwSgxmAQmCADkYOQ51ITcKpOfIYIlUUG9ze1IxLgh6l1Q+dM9zgAFeJZXChKH1CcgxYz4OpI+MMFhRoJJxAkcYTzrApfZKLxQIz0jPcMdBRGBkmONqmKY8YGQTV3GPaqAP9bSvDKZYBVS6CHhMQAuZTxVVwsPEN1Q7HvFhnmPiSCMcgGLCl0jV7Mrn7UklOJWve7FMSRVwD3pIvFdJpQDxhFwnlaJC+CYQcWAu30EBkEYFhvtaOYoTz1VGKOU5wGI2iLQOpJAEiOVzGBfprJMK+I9gARyktYuAOw38dpjW3MOuA/PYOICPFCPMPZjsHEiPXMYDGCfHhhNb5qrRg5/dnlSAkuI9WFdGauBrxOXrpALBQ9cloAsjLwGDKWAK4gE1AWce0wzGh8gAA+kCD0nqai6AMD6397MR30cCqAv4TNdJpUC/cgLEMHdhCDkMIcxUETgKc2xc4nsOshJDYEA9YCRNJPWh5QLmJEhIz1kkVVOeOOdbk4qDgKXvTUBllL1Bx7ivchVHIEjFhglIuGFIO5IFOmBM6QAD4nqu7/iU+cYeonUApgADPBUopRFnDoCV8Ci1Ke4GrJKucRzlePC94wngdAwDiQMNCTD/FJQuAgNyMVDYZwwZ5RkP+54HIgNLssRVzRPm6s2kQptIZTniXVJpDQMY+DGsi42kYnITqZjyQDFAVAUBlCOMtiHTKeg9DBs/0D7Id4mpcgGDtYHOB6D/SM2U5UYsN+lV9gp5qQKPGQeDvgBUtdfKM5cLDfQXCDoH3Aj6hr3RDySpA/POA/WLawNTXyXB9bZiIsDeLZhokTKbmWgzZcAw940rEQZERUprTS1SGwZobowbizbQAIwH7AnC3odZQazuChhtlGbSbNA4FQL2CLjgnDsgMqFEDETQAQEGUswTGLhMwBxTPiQK6UGrgexANhgjQMQlJqp0eWf7+cagZe8zUaCFvWDxVYHHkQSJvI7igMzY80B/JFwJFzswMKA0OxS0VxhR5BBHyQA6I6iVJyDPsRsgIUE9VArmzwYUd7j0fVAJPCVgggZCUOkpQG1GPZhdQgQaYBzUKOUFjHvApMYjjFgtFuAJ4G6JVLWHh5ftSQUCT72L4gHWVvl22KukwiDw1DqKgxKJDIhKBn2R9lICormrMGCQoAqAAsglPYFcg0D5D4gJgGPsfZugdIFyTTdwlQnsnQpUB8hjwkK2AyJOIuNoG8vSC0DAUdAztPFl4CtPu9TA5KU2xqblbbpIqjZj16+QahM0wbwh7ynnQCoKwh0E0WvKOcdgxbB15RwGHWsuHZgGEnlW6QksRIN+LoQiDMCd+0RL3yrvQDrsMZigHCSaE8gAZtQG3QCUR5hpYNEhx/cwKP5MGEAICbqAAoIJ1wHOBAUKrABsCJguYCA4vkPACHQDd8mTu10In/ObSYV3ntxbeEcrxV+fZu96R490lGq0uz0T2YAHNohCamRPBVrn47oemqm3tJ+KwlSge0mW+NxuR7fGUSOa+bIt75tmUtdhEt5n2Qc6Xq2PXa/1/PTpuve1XRxZcIH2pmtQcxdoLw6u+I6/M03Fi0KplaNGycdzouTDThIEzToTtgZR3/TmsWPivPOVrCSo49KiVz+EvO2u7i2e458vIy16k0MvaqHtwnvey6+F3NtyhTFpdH/y+U/0U347YN+WPhVJ6ydjPVmh/66l+O1i4iw6Tr0aA/BDXehPv/8xLV9Yyu2P5FC+t5R7ZVp2STmevl2Y2d1ew06reKk2OYqZasD86M0OJMS9iBdZD+IQXPPEORAkfZzsAS56YkwmXT7h+TFMmf96I0rLf0+DNPXDbuYfX6HKWdSWhBuSoC3zBVuoA/Bo1aV2PsOmU/Y5rZ8b0bzI/TAejWlBehIZcp4hWU+eNAXeBvHQdSZnFmYNmp1biLrGi6MGTkKaTHIt+MfEJX8NW//8wI7o4pyKwaURhZ3PBy7zrNv2XvOpy/ICZH3AOfmvhFa5D6PVVq1fRqv/ytNfT+h/fx9qfdwXebv+vLs3urlH7NcT9p092nZLdNER+Yf2if96wn9WnwofkC7bTZjvli5bctjBasuXAup+qM1roTf0xsi8n7XD+ceLxQXwtqGKYlA9S4632eeJjLTI+00Ccn8ixtblXh2eXsL4/EosAGfxyRJ6rwpU+8kE7H+wJPyAEFyAtlMrpfKvi7+Wfb8i8ubfvKWvTwK77M2diKJZjLflEDA2BePF6Cl1neSrQxHGHl+c6/7vebv/lWRm/qfIzH366z7+OUIz/2Gh+S0dOqC/HvysDq1JzD83Rs8b/lcTiz9JuqTeNH8S5dxi3hyr4jt7bLnrts+kqIQyS9g9KddNAhhbXIsl2OEEz5JwXO9JpmkFNpLUrLwp00zbshwEcTJUFkMbvun0rdiIkrUn+zrpWc/YlSl4u+gu9Ini6EN+PbPbPBbXJ7/Fp0es+fTgbX16ksW+lQVeQ6Q0VHuMuNrRjuSSaQ8pGRDfY67wUeAGijKsDVMe932fE5cg6mLix3vrG9bCv7fE3+Mw/0OYCdpttBr9ONrUNPDkNJRTQrFBkuC1wij55RsfJHoS1+k3G7hLRxEMmT95HHRaodecPEyCRVUbNkpsx/RnkaDiUDM2dsoMb754utXoJiFtprcF/DpZda4mCdPl0yi5dmHhegFX9z17kGQGPjAPrYeXRUQb0AbS2915VBvpYOvP0Bm0q1EfJrhllmnIlv53lBxfR8Cc9ZKnq8LfUSzfUOyrtx1sVQ98XW34z/GgbqjTuo/g9TqXI7x8SkXwj3i1oonP2fdXZP3RHLur91pFicfWp1QkFd4wXMv+Tp9RESV0EyMvewt9RkVMILt19VpFia/NZ1QkuGD89YoST5XPqMhxMHqdGSZ+Hp9QkXXgsRukr1WUeEl8rCK8sSLCiFSvV5TspH9GjxjF6HX2nuxDf0ZFgjvkdWaY7OJ+RkUSozewbrIH+ilYpxy6xgxxaDrQQu2tHlES822u1P7nCwhFL94tnAioBRVnnjKLMDS/BWfx9VTNfrOMidU+ewaVwwryL/WGvfloKsaWtoDJ0uWh2PqpaP9xEMU3lMREmPdkuvfZnvTTPm/YMaWI2tCWtV44AMJ9uTKxspGiqWsTR/lodBr9hg1DuHI/EJNJYLreTDv58o9urFbPaJNELQbLo2915zbo6VMLahqwyd6nmY43LDP/cHupr//8V+9fnfmv8xC+/PUfX7vxU/wOrIj4dz92Y7daUqobdtODLijqHT8cRVMjwmqFjc7AWhHQjMKzZyMx2eblQA1a/iZummsjxNmVCx/0b3iq24C+Gmymut0XjvMl6zXz6gvP3cTYsF20O9XwGG/11K3OHYeOt7p3ow+NioPIpwbQppbdx+2lvEEvCnuTau0tF344gFFNR/H2su71oD7b3k7K7+naxGSIC5lEUfdNZAODQtv8fn3etH98nZLIPnT/+f923Kj7v5do2P3nkb3IJjXRSG38e9OykQ3sQPy6kvUfMMRhp/ZPS7Z/fJ08/JqqNAx8ABw8vxfGg25Fcbu8XsOdmm+groZeI47NbcvP2OJjZm83EpVzHrkvijnY6rNgWcW/bXDvyfyITYBWI6rCO0uyqr3Jq+GZ6qDXmjK7fR1BKzzjx1EAJ6n9Rnwp2Ld8G0IL6jZgYTRom161acazN0lRseb9u1XLa43OLFInYEg3tsPj6J/xBHHBemnOFHJjL/Gx4Tun6vhsits5DfYZmD1xSEaQnFJgyUB8WkdX+yZsw2SsToqNZkUCusXNn9kCiQ5vI+UmEW3j8Iv2WjOUsV7okwCQg641kZd0Xyx+T/LGpldsH4StQdK3+KMY4eJC7aDMW/KfL9VqzKPVqnXUOZKPvh8MHoI7lbUeOkvPduQ7SSzOJGDj4ssEHKvTGL//z0H8H0hOpsD8BUI0L5F9AZhnMazjr738fW60rqFbFK9GQO/Zkn2JrF2BrCqhlrD+t2XFf0U9X1GiV1TdFYV0RW1cUe5WVLAVRWlFnVlROlZUgxUBviJm/73AUzNW0i27dt6vtxtebKnqXiOOwjeJiboM+7Fc+X1KygW+tLw/GeHaIB5j67lFiKeR51Idu05ar/Sp6Ek4oD/o3ZdqCYf1rA2cpPuXpWztxQZX1VD+MLahpzxD7jRtzL4AYQ+vsBLIKghtGxzPMsysMFYm3ss1zTa7q6/nX8YRRaHt1cQetjZ3IlR/+89MDSHIztQ4HjVAxkIAVZhCRMk4JO3Ucl6whO15kQXLd0UMR+N2tx52bOfM+LjuFr3GReP46OblCJ83jlUGEpv3d+X60WPXOeqcc/cuF7qE8zuisF88H7q3lcAvqt7DLbMftsxNN7xvAo/dqO5Vs1Uxzebzdbt1cnHF43e31+dXXrHcd/dzrQp57l3ddoe6cn6jDw90GR/3Hw7KJ7eV1s11J3es7/zu7fURP7s9H1y3n+sVfNC9Jq2Tq6Y69Ip9m79cqVSKbrvydHPbOiuh8Pn+5fjW3B7cwfOlvume3FQq7AofRFftVrnSluObWz7Utw/l0069cN8MyR1p0vvbo+ebYoU93JWjq4PK4PY6N6i0Di7PHw86lVsVuvutBvShcVbpdk5vCo3T/PGLucUjXVQDU1FD/6786BLcuqOVsZs/EkftOvIPcy8XDTm8v8uNTtuYP9yW8T05QC49GtwT1T+lc1qe0tzQo+XAo5WGe9t68Uhr6ALxoR6sb0uWrscXxW7zofiAz1r1+hlp2jZgj1TG0/elm+eTUuu4UaqEpNQJG0Ep4xaPn8RZCeeb/cbRZeGxd3ChRjen9ePbfOGBVVmBBOUbNThpMotnU0aYiay+jbLxBlvU72m567dbyNy2mkePYePquv70UCy3/evj+/vr8+5RY9SArmKvc95a7ka5dHNz0DGPpW268bzvHotqw9EuvjTPpt86vOnco06ldCFw7Sast5R73nDxQy2d3dSNWOJ+qff73ejXr191t5tpj+0Klwb1PAM5vk6/+Ap6LqDJ0n3rayh+2bNo4JlUadB4+RLfchmZKEq04VV4SIIPJ/dgWhB8OsCD+zIe5GPbYmCXXedv4+jBJyVWUtMvX4tabKMkvxYk2b77shYFesl4WF1JmkQvXpIya5KJOfE1nEv3c0rKMRWIILJwP+erQD6xBpKAqWui22o0UHTQ8ECHGCfrkNOg9F/iIN1f7Frl9N5RtGhPJeoRiG/T6+gWQGtsxH1ZNGcAFcGkmImbeSN+X96X+H2iJy4sHn9ZujkgtgwXNjCS6wMWBBrIKfOaGDI+wsiNT/fZ+wPs3iG8jG9jtWLpyZ2UvqKZTATcpH2Tr4xJxx/aMe+2Qm2ruYa6bZZuzwwb4dwdtQt6fiOqm5mSqXtevTFceLa3iukZh1gz2E6a0oRtvuytSOQNy4RLXDRRTjZxkUP/Z3MR38xFZEsuYjjwmD2USP5OXDRbA17koqlOu4mL5I/Eoo3nlvc2pPKNqWJjqmMV300Fx/bSxF38ixO7mG+oaCkXJpuzieVshG3O5ixnozxe+5kngA1eNoHpmY63Hhj71ciye/NI0Yl/RnyxTQAMMr/Q5v+b2OL/P3Vvtiwpkm0J/kp0S72RncxTd1WJAMZozGAGhtQLszFjzCBSIv0b/Xv9JY2dc9zTPdLjZtypbt94cCM4oKqo7r32Wqjq5n+Bj3560A8j/Ad9/8PU8Q8u/DXz/b/99jmp+vEo5N99tQf/8VM9fzxw35fI/VSF3H69s/vrj5Vk6Wfa8rD9DUb+BRUS/4oKEexfUCH5r6gQxf9Bhf8Urv4wcH+vJ3+FnD81+wfk/PZq8NNW/rkI2qT/RxP/r4bLbzNZP8Hll+b/JVxS/+5w+VPugu9w+buMBr86S/zy7N/g8ncF/wRd/wX+C4kSf8Xx77b5uwp/vhr5C4zhf4X/4Gri765GMPKvKPTrq38Hov+F+Mupwf8KQf9SLEV+xtKPhRjrVyaVnxfB/ZjQumh/07vlI0nKfzi2/v1A/RlY+PHhivFzHd/w139iPP8xYP9Y5Hsx/bceepf/3Qb+oIo/jZ+/a3fdrX/Y7D8NkX9Q5r8pCv7Usv/cKPhtmv0nFPx61fkrFHxvP//3RsGf05L85Rdn8V+eJX559gcU/Lngn7BHK9q2OHElDd8v+P/nryv96Q5mqNM2/U04Tab69Q2/A0M1TX+Twl9f+jskdIcw3n/T5iSc/6VYiP4eC4sfEwn+esnv77Y//sej4d8N2D8Grv0Pnu0E/bCu//ahl7/+E4P8Z3CmGP6WXve9NPYDaD4p2efs4z+q6U+j5L+6pj+Nnf+smv75iPrHgvyn5v7nBtRvy4l+AtSvyaJfACoO/Xu+y/ll8qK//OIs/suzxC/P/gCoPxf8E4Q5e7280wBewrPjp78Z5s+1/gyQc1yE730lQ7f/+obfISo3hEX+mzOlJ+b8+obf4aoSvrewsPMwnYP4LwRW7E8B69t1/ghX///FOP9uDP8Bxgbp0P3wKOOPjxs27wnmv/4To/0nYeg73fxe0YeyfS+G/1t1f1DPPwdY/zX1/HNg9c/W828Kqj829j83qH5bOvkTqH5Nuf8SVOl/f1D9Oc3ZX35xFv/lWeKXZ38A1Z8L/hUvDD944a+r/BMc9efW/CnU/rmpP93C7sOJjmLXpMe/FFLxfwFX/cxz+tMXDr6lOv2Px9S/G8J/zFuLb59q/0LUr6f96z8xzv8Qe4w3aRs/c6B8vhT49jn5nzPD/rFl/PtW8ecQ9E9X8W8Knj+28z83eH5bDv4TeH4tUPoVeML/7uD5+8SHf/nFWfyXZ4lfnv0Onr8v+CegMofuvSnnh13G36zy9zX//GbgYz/xry/9HXp+bL/8srRfXv876PzKj/471HxnSfpYxOl9bCz7YQdZmvyAml9P44Rnr5/4+bFt7P/9v/+f8bf/mjb//XPP3H8Fz8MPNPwf7eey0KLJfxuH+L/9j4+B/D+LJsxTsG/z/ysKx5TA/lLcWcNeoauYd8z5n+7cnvwtP4/S6vyHf3HM431+G1+Ffv7mDF/z1t3G/BlJFoSq7OwlIZREMdHjKat1daBGa5FDPvEp1z9mgKCe+ywVQnXRKn0QKM1Lg/ImRgirBtyLhy+9WOqJoDjrVQ55jqPjqGPVsCz2aE1ocLvfTZfsiZ4G0L7pyVe/e2ofZimwSDcE9PuJfJHh3BJwIOiGT2LYIxsPN8ta5TEiCd2bIGKCqEkrx8JoGW4ql8tC+XSvsU9NSJvZKLLpeT6VzDAsp+3uyl5tWnIpiiTcpiYvQW1aWfNwGr7OlZcU3MKQnmOaBHmjYtCtRHvodtPuYkWzgM2+bPtlRZJnh63ZUBtJx70EAkAaew9CeX1Wcnaibym0udDQGOqFb9+71tmgiyxbDMPx8oXJmFqu5E0+yNi8shD3eR9rOTlnbyV/jg7/ca3qeIyjptCDyL13uYz1ZBhFEtn965iRJ+XByhNply/28VkMzzBV/JC+HTMFVOd8gU6i0Qm59VX2WU8e/wfW8/SmtaaA1PORuFWcLGLZja4IYBm4dSn3QDsRrQ08P1hjhTvFFjRFl7kzGLexPa5wGErMkbn3rqD/og8zrrF7D6+yzqMM53lbay4oiSSRB8+6MFFeddoNJQpI4nv3Cb6fmMjKOtA1gY6xTKE6KyCu0/WuwgRlAJ7nVG3K8Dd0vMr83vlOEQNgupzFBkS8aRWi0PLoq6RKgxk09iZmSuUhk9OOVwdM0GJ5c5uMpI3WxaRHCY1i5zAFe8sVLQG0B3/N8xvn3SSUxB5+gKdBlUhPDNkaMpVLZKCeUr/VO19eJu4cg9nhM9e9IOz1JRG4opvjDADAjh98eOdb9hoU7UVN3TaOKCAzKcAoO1LkCiDSntEzA9sdd4rEvtIoSWNJukdnnC2LuzQHnPqCspfgSHC2yF2z73oBZ8lwyxbRXk11p6ZSd/C7LACTo14zObp3NK0iKmtZXr4yxWKXtM2hrXVlr71xwwd7natnaNeVwScevagE3TcJg0PZVUDyBuKh2bdLZSduioC8/IPYVbhiR+YVTMg8zYtF8qoiAPjVl1wsU8j48aLcq6OSvseRsoMNV5RbtCYojgYToDsnyzkjPxG+uNmJIjANVGAczWmkQqtCIbiGgN0jQx7y4bqPpeZMV4Ezxn2SrrRSKJgSK14eVg4u4pxkR5LodU7pDAMqIJYDogWmR5iNUuGrPG43rrhYAHOOHFPfl2TLhA7atRdl+8VyFQ7lbh+qjuUbEzrZiDKir0NdAY1gegb4xUXi295y+WnJ9xjAXqABLkXqZ2UOs0fqh8npFUliATkY3HirBtKmcJ0gBrLsJr7SJohswq2b6AGSKYZCpwfZ54ih64H2QETHr56f5xc+qyYc7EZ806ZFvvPUkO+swFQ5VLTItUFC7iEEheQEs1nYNHdVJv4CR9AzNsCtS+CuOhtnXICqo9ctAjAYcXSiym+XiHMuTpRST6KMUaa983Px7LJCGw/CTrLRXxocYYxQjOlqJ649be0qLtcQMrmb2b/mlnbSu+9mngT3NcQLz4rpSkhe4jTxgJslILbazu68H4SqYhNZUYqLdirKg62td7QJRgIqAaSHsXqKYFPo2IuRbT0FyLqV8VOUUUE23aFpnzJwnkGUC0ec1ZDrDQTURxKp11B7EFriAg8rZHnWVnuhvQl3pPLyoXqqIfVKkSCga2BdllMjPVUQhuu5JIlZvZEbYDyFIg0EFV5KpMcPdRlRZF83mg93TBHLwEF0QFzqhChcuHFcZx19UK0PYAFzLzMFtB+GKPFgq0FznjdqbOAqhXl+gGvecVfGuU5rZedf2M9Y5elT0oOCldsJph/X2TeWZXvBwRxrZT6vM2TburrlGD6qD8w9r8vljpFfKGd73+ILy5jMVU4uh1cz1ic2P1mLv3HVPXqe0Yf/uu4pPa6KfFnDS0jU14HOVGCBgUXobf47fjNcc0JYfMlHJRIgMH1Z/v7oDWt9fvs7LxYio5vJ4Z/esX7ECivn2YnpnlD0sKufrjtt/SIk+9P6ise61eR86dtVLn6Pnd5DlnVVj7m7/+0ZLRHiyscLIrV42OjIu8/ItTq79TP2cHm4WiEPtIWyBGSKjuVU0OmilQgNJlJDmQtpHNViotDdnqk74dvtEpPzA59gfBfoSv6sQ1jPOkqo2hPTfqGrfS8BEGwPnG43ypeQkxGAWbqhjk+fmN0olTpCTyyVHrvzgprSBPDWGx9o5AaW+BkzlUTROdmRwH13smAfh6sanFAoj4U6SSO9BMg0EIBZdQVIAuSMz2ecQ3Q7OSWtjYFZvb081APcngAiO02ebnD56tuY6ZAzIC9O/XrEErtrRYjE103vfdwCQfNyiUS9lLds0mYBCZ3TLUljMmZ6ZrkNB4Zgm7HW+dZ3xbvvvEqCuhZu3Qkdq9SU5js1764jbLHfZNv2za70tRmHF95QTYyLz3t/J3jpshGandhaAs8E9xw/x9rIw/wW8N4rLPzUHbu5aV2c9uxJ3S/CbDgOYNzDr3GQz3HYfhgH6T0OBWRrfRsgCR7Sa3vP1ITWWmW/50PrP9XJgAx62yKoBVHUT3FMSWveXvQ0bKMdj5fDb0VyV64fRspw7PBUOvtqCX27XRMfB07kEpO1XF8VgFvNpjDrl40KT+jsW4XmDma/Jo8tBeoA55f0xnz55Bn7btxg+53NCIr03T4F7fTxptkVefnGnzouZAtHpkVmn5WMTgc8gwEQCW2PN744lZXLnJjLn/6l3xsia31ZxY2bL2iP0OG/cS+L4zImkWLsCivcx33nc3VPhemvZtGXzHe/NxiBN/r1fv1+r2Jz8Sb0YrpBfH1znt9sU7YaxmAJTp4IdFDHftsBdSr3WK7vcOJ3oD6LCV9caBABv1GpolDoYc+iDY2MzPLt29d4ybFss/fee0wRK3QItDCml5EHtcg7ilxKwsg76siqSnUBYyKB/omGFErgibeSOKdBgvX5PHhl5a+qJB/1rgVljOiDCtOZb4eP5pWgCTqSHjy5e2Cr2weXKXBSwKfmCIjhGPLVz71lp0W0hQXqxn2Np+TI1j10hBc9b3sPOnUBlXc48KgRwmyFpSE/5IieckW8mmsY2XUjSwS1ql0aQKwD5277Zz8+eIzvuhkKiVQ+YXKnmvxycROadLXO7OOZW9KiMF1hu91Od1k/wVNndeY1n+7SUqc4wIvIvt1fITydCEUh9Qxj3I6GwIMcAkg9Hp/3qBeZvV6vE++ADT5HQKQ3RfgwLzkptiXsm1HqUaDqIKEulaAqezA2QziJGsRskI5yKjNPescXRpYEmT0HxbhPRG+4Fb5rALZdN1MdSXGD0IUaHZJozRIDjtO6h6XXHFRPiYKtZx956VGoQqF/4/PPsbkVpyQMLaEpN9AsIXrJbsH92Vqn/yC3TjCN7zrh6nK85Yc3GK0vSARPhSt8lfHxbEI3Qd2o1UN/+WbHxNuOjdHZWOwrFnYKqFPgshINRftStKYtees5+/J6tgNJwTTAeaS5Q1nGhrcTNKxSe0Lslqa2MvmMasdI209eLU8qnOaOPYzpck9CObnORE71THd5nFygQ9bON7/HP6R+fsY/FFhP26OtRw69WjS+LOETBwViTXjjSQ5T/6g+3LWahwl1aaJnM6WocW871YHfbakUbjBgoKILqNu22+WpwAfH14Ooj4Siws0DNHXa7q74Jry29IITKoyIqiccwHkAfMTsyIH6uSpVcdr35RrH4NwX4NhnYwtXcUz3TgpG8+RfVSOjj+nSIElo1NJZtxriCX3tRRTzhp2yCb8YEbh37oo4e5U4zgKOIsGQPooluj0jn5zClD7momygyMBddsQQuqqJhDq5bPbo5Q0xE7i/FkXr3vFnLVB2aKtl184Iqyc7Lx5AozmCmDES7rWI0F3OeH+91hAE3e5hLHXLfBuQHQzdh+YnVLDf6C4StwWf+vDEGxpy9eRJyZsyk1ONedkGPImv/roLAlJJ1mgTqV/hKAZfwZMXa9Ro3J0ziBJ6H2WA5ZxavJ038aLg0xIfoeeAg/w0MS86APvNkTz87HrNDS2+OOnlFCF0i6LHcaR5Pb7O0GuLLTbZCOJWLTICqRkvle2a2X10KGI5CKAdUoHu+kSnkInXFrXAduAxbYsZ4QYlCaAZzQIl9E6QN/kjzcDnEI+aifoU6GJNxiJi19ZmcoIBFbD0hHkmMpYessFNDSeu55rUaN9PuVS0/REf+gmwYwSfwkk2oyDAAd2WPuIfhHYNqmLDbgpzs2LjUjbtyTUuL0Tocx2BL09dg7DI3RVc9WgivTcRUYnrWITOjCfGXhSDQ8lSsMe96sY4be826QLgQgJ+i3JBQLkoTGXKZhbZnIVZa04Xv+0tbD/JBJYqZcYLW+I/UEAKlLYhx7Ty8IMknSWqI5aIrpkX1EG6AfbUK+q2Ey+HGRE+dV2INk+I4VTvOr5BQsrQWh0Yna3XzIQlpCiy6Bmgr9dHg7uiGuLNGbFxhp4vhi9EshCScgKe/WBprDygnWkD6CmdgnNYzluwytZPPnXxyPsJKeHAXhBESzj20t+0a8WvKtYkmDloB6Q4knNvwh45f9V0swmIe7+DWDV4ipVs09Cj9oLl5fBiNYy0O/JG5dGvJyzz3HlQBGqIOdkrWiRuPLJbc/KuexC2J54wEwlfOkvW5YnUVu++ViCEpkYdNIDCu+FerLABOcTThV+SlVuEHSBBN59UBOwNKru6AuXIDVzXfZfIE8pJw81g5SfEHfOxndT3AJ3kgXiNujb2VCrqcZYQNaLp5TFnqy+hTdriOgstMBKbNhn+k39GTXhvdFisWMxkJ9fBYGCqQR8Hgwbx69g1Dgo8ghvb1u3Zw/dKYiqL4K1UhpmDchkw3Kst4wtlCoIwbL94f5REDh1Ol6xvKlzo8vHVCAiuOPA8e1NU0vFOgFgdevGEmzj+uE3BgRLEod/oKXXQYbBkVvaQJwqvD/AUEPSP/TMTpYuGkpppgyhSNzik7l7SWX00cE8zpdEHi0bKE2WNJ5ND1am/2jL177g7xxMQDBAyBGQQuMChVYuuvnp5J3C3xlOfp7NpqF4leg939T7dvechGk8WSjMOiq94CQE+O1JfZUSk92MZ3LEr1XzrGorwKFJJ6ZOaRwOR9JY50x2NIHB2nfp49x3SntI1k/whJd1l6sdmmiqIyNtbTphqjng2WBt+gsfisaN4s7jhBE51bZLa7lDQPFc5mZ/usVOL+timDtBN0044OVHbIcv8DQEr07cx6gEDj/fvDGwtt5sOCGPXZXcBzR/gl8qX+mCKYnltSyNuoAJ/oSfBOF5mjvUOciC23ZPjJ3YlWnw5QFp3SxzL5gVH6gwA9+ShLhm6QIXBQUq0GZYYHJYFBlIEGGwL1OQW95pPX/Vn4pvAAFLXqJRbGsSubjEpnjAG/YPQG+Q4mU64B2BdcIOjnZ4zR03gIndVl+A1vlyIDKxGAiyxWVIGp6091QMEAabiN3+RE2+bYsaYIilN/Qe+5nVtEBNk68pTEWIAKLERe1yrsSYieA4DMDwuVeQETeS54hCq10neWx8+MU5G9wzQnNymAu9ek/rSd+1FpYDX8CJme8lozXvznJZFkjOKXMTnKAKEakrLh51uwOtJ6pHP4vo1menndp0Sj28xz85bE/e+sHU+MO7iWHEZpQ1K1A/qBdXqWmzxMk6mC2H1kqrj9dkSu5BYEYe78of9LjyBuBu2vZYCVtR1JBo5Krz1y3elAHlMoyiekHmdwgfNz49Uem4vV9GVkF0V3qjPfqKV56C082XWb3U8jAHkOlbKKb2srVX4lBlFmBcIeLAU5ekW9MYj8cPfOLUntH1k3WCEgV6eZxGZjoAkIJZRWGRxNqnX9MdxBg2F6/S8hDxB07WDI69yuxZnXKapsGtkWrD5GAIYR07g9z9b1/bkc+TAoTPvrdz7ygQgp9x47TF0IqSsr0/UrptWY5mxVKiaZ+9hQLZa1j8YDZjrsAkaNWKfb5x8xCetYytKTdwCeVkrf5pf2gPKGRzHAHtCNyPbsTq3lKd85+LzqbWVPgkHu+qr2BECTl2ckw5bQfYKW7GfAySmw0SEwyatSZyKuEPbwoemI7Yu6wwZVBF6fxG4E/YPrGy2h84aD0RkYFdkylVD0XZDgoYeNM8PpjM+DOnLaR3VU5sJhWa5gIYiQLIWAya1iaaKdaeBJ3RHyw52MXMxBK43aOEO4lHM/S3XS+NoybscXw+NVpGLI8xBmbSK/Wx2dojjcfKqQbtNz7VEoUSw2yHSDP/9GZ3aJv0GtNr7GKzXSmGN4XZigJv5Mukfeo6k1LXCJs4FoiIvbLgwQtHVBygNhhG6ofoo2qcAXUUDfsLzAo8tAUaI5yHwbaL2Wn2m5EkE0igKrDsu0iWRKGqAlCaAtv4YQvoDkt/8Sod6WEfnkH1cIuHYLR/kd1NzH8eIA7DzDoymQ8eIYTODUTgMIK2wHDt0ulyWuob6HWNf7mi09xOZ6wH1MFylMuOo8DrpZuIeemIJTUPidUVoTVODwbisMncYy+9n3JU+x5KyiPBiROnIabxnD/nLCXbSuQ3cBZvpQnGnHMjmBpjMfBjO0XmOkQi2KYTIJRHbRoziQ7hPy3IEJnpEMoPtyiOn+K0Z3jaVz2oA4J2YsX6Y1/uKaJAdotAJfMo8OOrCBSkb+jWWRuHlyeqp0on7OL4JpTXviJgL0+1FPbAF2uK7oLRAuJK9AjRztmx6fIjgkj3FeCr6Z3PS1IGGHoEVAW56gyByQkkIV7U+yyhXo+mp1AaJ9PozWuzVcXZS7EWeg3zD1kZbIjQkCrc7atejcFSy0VvkJI425TjkekUWHgFF7UfWntrZiyv0cUWjFF4ZAi58BJXq1+IBdahfTyg7GRUk7WhU7At3slGXp+BPO/U7ZLB2CMyM8na7HuaO2Nu95xNQP+KTpJ4y/M6kSp9TxmWQswzctsTMSnSxERyGCMdZzCH1pphvy+UoGjOl0KUjJvghnHCyGYdr9rz6OhxPSzkxcEF+29cYhERROzRwDOQnepvd3VUbzpmI2nQrch9pDehw1Rw7wixB7RRB/r6ciC5OLXmQFowTN+Pkyi1e7pd0wJtuyi951BCq3cmHCK1i30kuouNuUAp0qR3jFuFifEBt86xPddVvhSyYJ6GXSs+pO7nmSow2IxR+tknwhG16bPxp4b1tPDq48h1KKh8ma4ovQ/UqRMKboAtkF4BVJ7l4L/3yCiBRV6vmlvegfurmU+rfufqZqXMbPFr7ZZdz3OMdn/tPr62fbnRQh8YbTZ89ahnEsI516Ug8IZ8aV56nbqmpQbJ32NjJMHL9YpmsFu1NyamklzRBge4aXvZmIp2cEnTeY5ad7fHQEaz6E+QeTSWjd6t9/FAfLD9MkUfgEJ6ViNkhPOXfmPQI4+oh3V+20ClzFewjcLldJdPrB4k+tF1zLq+OQKumvOWSYb0U4mnIpl+EIX2yucSM2Zfx9HxOw937U5gW8425Z0evEDoX33lfvpKKJQ43NMar4bHf0EBvp3U09AcnkidMDybRBNWHHQBnfCskx+pwrjM76ZETKb7le2qlz8d8zMnqmsiUtLWIz3lBjNXNGjRQDAQQIkNuwNVk4CWm1CP70smSc9Wdi0nyktMHAk2DUvBY86bnjTbkVF27P69nr3dtdIPwHJE9PZ94b6LhMWiCM/7S0PY6PPbZoCecAtbFRdM2vmgYXPWBrnqWHpVtXPeugN+UesV2eongqJzbyK0n5y7vA7SMQQhq2lz3L6Xr6FR5DTvABE8Zl40eZTUwhMMIC1zjEl7UF9YYBLA8H2IFRLzucEO9VJqX4S40PHXDXHV9cFswG7wx8SAPH0/xzuXD/dSxncjKZgf1bIuQDFwCcOOzzkl59vv6nsMz8xvYwGOlRifxOCEZ7V6OdeLdTMAVbIdeJNzxkzkMEgovixUAEzTlspwDqR62p6CKT51EO30pPIjHcg2gU1pwtpSfMRgqiE+9QWZ7c2hHhdJAND3cpEv2rSHB0Eh2taP73SPQqXzsvGrOINIpd3pqB3JyRfYWsAopXziUDXjDGhMoOV6XANgGDfM6SOtGwpBP4Le4kVDkC5Zdbs/ta8727kE0DFxdZVUdakHpnjm97mUcHTEPPvCqA+tFWeRUPTNf2CrqFeNSSxIhetlXMMkO2gDopSJXPzzBehJi/fV6mvCp6Z14o+gFZJ0Y7uVVL81toNkLOggdRvLdYZ72aoAb6KxC0IjT0qPXtIGQ3du+afwNhoA1UNKBTNHJZHrkElyOmZxJJBlCb8KafljUmc7AQOOJxJu2VuH1yrcso1D7E7p6+1KemHJKbT8MvOQi3AO5Y73glH3v94SbHSH4jM/ykNMZu8biQ+TH6pQPVMYtXD1nAVVHWAelpt1ODnkK/3LHiTenoPz7OFjY7fFMSJkp+htShd/9hDMdK4ivKNT4D7k7+a1vtpVHgU51VehNWIOHDABnUJosDcQbBB+OG5Yeo6pSCqQX4nxv6fsZhtvm1AdzSCY+evJ0/SGKUXxhIpzRaaVHtcNQE9nLX971/VJRdSEDKAoFCynaRqvFms/zUR7G0QVjG76scqKN+YMe7v3yrDVM77R5KB5kQ85bJFqXnulo8LJqnN3fmrq4rHaTMpXG6mIrx8gaINQDoU6yfylt0NnZkDZflNNiyH0tQ2fB1KkVpPLQI1Z7cFfZbJvoMR6pRnpxf1GwFQLn5xvDesluIpbtQ4CWxkEjpvt9PTSY62XT0hIkOWYmAOhhpDpYhzRfSMyE6sl5OpGg+8QjbfnezydIdqzUd/w0qgJ/PeSiojMoha2rDc/GGf5XijeKCD79bS0vZVBeZBYtSANHIutmEbvht/VeIphYz9eH3vKXriB8Szzo0u+Xky7IwqABZfEYXhHhEUNHO1txQFZjzOHKM1ZmD85FWpDnie+DNnM8jZr8kCODTWTv2GUGV8++DcZBAUcbQEl4UFVkJyR1cS8nUc6LC441jWSiJYe0xG1NNUUjseTjfQrUN1sTnsJsG+Jx2FtJymaUrSYKqIxpVwMwW9CRlJMe3SITQ5GFAfLyhd6LMAq8AA2vZeme4R83djl5ymRPtp/PFfTJEsnyrL5CMjiWxPQgQbs3lC3bEdh1hRqFeyI+N9IjpzSiTYJ+hpJT8uoSMLxwbaHyFC4sQ7zX8kwTzpyaiq3p56N7Oo/DQZw6hya1oBYHj/k6oSsCeinjOPFNjax7j9z9iJ1nzQFGlz85QLf1h6g+PUk8PM66gKeuPDo0RzU3dNqHEVxB6xGOOIhi1OmC/IvbkVt4d0R6jAw38oYeumeTOCE3kDgj1gs/bXhm+1dqys+RPzgWsZPLJwZC6Ho0GgeLvr1pCUQjQD23RKz5rIwXB6vWxsqLimhI2z1U1xNAuzWWO1jWaChJXih2OsxTGBK399lSoxMZKei4rYTlTWNtKJEmqDwHKFlI42RyATovQ4Hthm3Gx0HRepbjcrYsONFmKXokp7dk7YIWAAedzIJcwLU3ZCBDwbw3rlD98LYGnMIXBPQkDZBJeGsbapkLTTPNdTouNKndGtmDgfbxOsEoUFTzDid3DSwOaTORz/dXnhsSoLdnA73sPqjZL7U6YlSPRHiKfDuV8x1NSFv12LuyH/qQ3vEkkwQtpYnlxqIRUjJn4GZJZ0TjOnca+KpIhvg3n7Yv+enT4/MwXS1j3i+bhdVTBgVavMFCiaA3nBCboFN5EQ0paINPuHUKDCUG6NR82sRyBeahihqw1KfDb/qVboPGPfmqP0+hp5FT5KWulEqVdwZy7OGefKZR9zE7Ebl9ChXa2HdhLnq5HWr5ZJR7NZU94bW9SJMC2ZfIfg8e9A6n1+rUIki6nZxIctHvOKohjItbYr8kUJrh3stuKfjeywZF+oCi8FdPoGYiGa2TO8KUB7i3MaieUCOkFmxjK9Gq+aCtMBKq22AIfNqsD4ej76qYINW+2jcsafA66EXew0Wcf7rpg1K1PKFqZ95qvtdMIvOI/pHPJ5LwsvtkCJbJWDmQjbl2ds85jFq76pfT1fCCPhzsLhO0JAV9xFkMc4DixmMsUNKYFhkgd6RN3madDBNkShKwBxv0A5siYnlYj4M1MpaESEYVMotNJM9zsOLUgnMDUwXLZ6bUPFaLsOwwE1lBDHFebOmUje7MKNkY9giOE6vfvg531MVjTypzeZ63cxfxK84BrZjDvOLx5QiaGx016CR6TmpfHteShMKz8P295u8sH8JibeL08fUme3XFQX3gnCgdvjx6sQ5KRGnl5sE4sFSGpfE3Umfi64f+Z4KSvfSs0J+8Grx0W3Dn0OOaZjWin7J0drOxmxUeAfzcp9P6GSUoTWWLw+VmSvsvGZ9c23IPm4/NO/JTezTx8ZwhPPFr3PDVlLyOSBHV9956RDlxbdmLGMo6dz6nsUj5ffTIYYSyLR6c1GnmtxqHFp/YQvuDj+mRD0MJPk/IrhiD1ypJh9poaEpoJIZcdzAqCyWGcNJ5K7xZYZWEJoPfPHkK6rw+YmeSXy/BL6T7XKk7NmtL60oMBYLuDQNSiRyApPfBhWo9jkRpkpYrMNoq1Mm3ZV8wa4U2hUw8Q2uJ5rnedv1yosTzzaN8HwqOtpnPCGdr4AlXE54Yaygb71nh9JhcXrpYHcOwFuXcbPauevAYlig5IWQHnCJ4yDtAb44Ab5tFXnjfxj1vXcYbOxdrzToLkV7EeJd7uamK0IUxins8b3/jVVDmnrxK6DKkRv2SNI3yzSnvr/KyD/WQcfjjtoPUbfv2niYkro9QJnPCaLmf+t/l1SbuAMNtlYNszZeyrvNG8zPnXevFlE7GhmvA63XqWQjHFpewh6gZIVOvkjWvpZrzeFGDzn5Pifhj/SMtIVcVTj8mLcHe7jSb6xpOac0MoV9Rcwd9Ba7dC3sDGMzISV789BPibgtpmcd1TeYOaKbsbS5QzbxYINqNAONxMgEwyFddN/zeX2cOVxt1ksiHE2vcmkioTG35s8rL9zq37Hkwa8UwayJc8q3VeLHmxV7yyvXEKSbPjZPeaLIWvGORTKtEbDEqc8pae6X0n/yiYZ+nc552K/1kt4yzaizLxKbr/GT7ueyxjHwtn+vjaDjJKS5WMdjUeQBXSiQdFKiP73cCdtk0tYVwHUCbjcZr1S2seK+lDemiWmUkVhcPw6PngVN4p56Hrz5q6Yu5RgnidMuVpNs9McWUeYiddyrbm63Gzspszbu+8lYOG8ZvBdHX5uxRkqpe7sndq30lnWpr/JrH+Gf4cBLBSwCAZrmdAY1R7oMXcVMwPW61B/tporVXmwbbLDMhIjHztveSHVRLFFrYZKpAe1wYHX3kUPuC3n2uH9EkaTR1YDvQklaEX0AMk/UIgJ7qFr541IAy8mZ704DcCP+qDO91F8uV6nsYBWBB9ZKOyu4LjZ9sdE2Z4Bhf9ZM9x1jZEC4nT45Jhu11kmdKEQblxBMqLoIWyAjxekyyEioJsdnZSSSK66mF0I3S30RCO4kETbRLCB80pUzLMqEOuE+a/KKVUx1JGZSBtfsSWoTaRpANU1iRnaB9Dicxf/DzJVjA60Wh/qaxbDNQketeLQUCLxGQ2CNToAg0E+7VCciBTLb7h94HqEXJsnVBmDAkI/jCqtpWn3EtcitHeGRk0WPXoO3rhb97VeD0RHxqFO+kGyLtswLi4wl9u81X5x76LH4lDww74/Sig5gxRPDIA8j2auFE5MVx41m0RbDYck9W0RCyPhDlyUNsYUj7EsONuFUTnLaLE/F7eBNG44aZJWn0lDOYk+m0HACYIbFd0gEWHZuLTct6x0Jb6Vtoli/XaJWNI7XrTj0lntkTacvr5Jaw4QggiWza2FTn6aUD1uk0eeO095r3SsqA1at1NbOVUllP6qauNC5dusKf16StUWR2rrFPGtWHgY4UYCGojI1Ob72xK60/c7bUT98WjHvoSCsi9WyEf60JDGk/fGTiwD3s/MI2t+jksdSab9XpI8VpIsrdcuXTP0E0aK7siUfb+ce/+dDKjxfGsqQLBP3kozIn5BbHdVgsanj+hLockl/QSQjeCPJuE/utTWJv+qV1bYX3Mugzkh8Usr3nz0UjDO+fsRz4ZSzHXbSuBGQMlPpUarkTRTJA02TqN7WyvOBouK1OOIJkk6TbKUEMqFjPdsLBT+38eGSPa/SFdjrbZ9VN67UTB3JsGiZk+scYENjTPYWcw+7FO6ekeiUQ6EMaL6dUtPV3FR/9heoFRFGnOVJ7NyOssnqkX0VyMhChQmuRaA/E1HvHVU7M+puuOMtfc+PCkBLFI/o5ZrlFGvk94Rs0gR5NtJ5c6gWtNz+0Ezd2nnWf+m8aZL8chXuh88FzubLGR8MKCg/V5sL0FYO9ZxkhyuixBupGDPXhLQ4kpQUCDDCaZY0rE0Up2gWXEAfOekEUIZ8Jjswy0gXaXrn4aoOAb66eT4NadP62k+PwTYCFh8g0rJojEbjneyaMiX+DqwNUeddz6qJ9fdcAd9v/Whu1gzhVQYtMeTD2upJvt0QXi+jLEOOTsDJ4HhpeNGqtOd3IjEzJ0XNn7dVmBciOpE3CPubw3klX97hNs3bW9gGPlqEjxFx7dSWageTRAgcGXIqM77PPdx+9a2REOBkODRuXkdSAOIBPss3vPJZ2zIftozHRewSug9EN13HRy+f78aJNF6L6pcvQq/t4jcThkWjy5rs4+GBOHz+5qvCkMWCxe0q7v+fntFe5P22tkJ5YDMdwRcWrLaFI/OVfZxxe+o1h3i5kS5dv/vzl8w+RP4PwpetiXgve/nPGYYKKWfWbCylnEFZO/7mMLdSZLCZ0IZp+zhUNGyWcpdpvx0RE5m+cQM4uj/QUj+3XGqgWaXubCkflKTJvY55LhDy+OPY1fkH1ndWK6ySBSfPopJy4SNyfifGQ2KlIhjv1s54Q7LxPGvmfOMPgOt2QU6+IBlJ2fH3imfDT80+6wp046Z7s1Z83Xi57DDtETnxz/0K1AUkskme4JssAgCX0BGkJTXW8i+ohnJPHJBM7dXaoqIn4hJw8GWufNSzsB60kovb09uDqj91Ok3J6usRh244Mx6J7QNQbH1avaTGJnYgXqB/dDDHAhfeGkDYvFCgh8PMap3QKpvsbqNLGHjzDvKVt/m1cDzQ8sQ7uFyp1lQo4dmq4boX5FU9X7Nta2yZP/Dt8OwCVz9p+OCMCSgFF3yc9d9i0Nlz3ei0DaJEelva5HnyuXELZZAfPCPUAk9k32vq9eAygiYn9Wmt+0m3iassc7iBqY+1DbGLS11rNuTLycVeT1iGa3v5c0z5eP9a5C6Tbvi7W5/rL3daZXjGXx7OTv9YHqu89Tv7kpB2Nfa4LVBiKuVkEcJaV/5NlGY+rfr2sKRtypk0s4ZGRe2zma/B9TSxS2YwtdZikBF6YtgTsiKArqLteeuLc2EEcguNb9pDmZb3JsFhX8/2B40NzHQc/NhkfuDTv9a7d7lNtCZPCcFilz/nufUxNv791W6g+gMFbzpI4Aniv1w7u6qk0qGcoFq1fTaO/qmk2nSFkMIx1fENyCCzldg+SBHcGMooSEdJec2f2wxKRr/YKdPVjkQ5cqwHVZwIX8IHpJmU907YYZQjdbbu1uqmCCL1E117wkknnFDytkwdglqiR8U/6mKn2LgT8zU56eGoZdcmES68ao4OYVs/wbHUnOyxTEPwxFqrTxIT2TE4oouSp33cDz+IKE0viVDY0j08o0maYKJfOnjWNcvPtUymtwl2vAXweunBKaGF3sWWDJYBYgxzIkCgiscBOIu+U4siM3O1egJMsofdFfo2oTtb3NCWVSakP2WlbNst4G3BWCvYEzY/aVXJIZsmChd4TZ3RDnxI3EkBQFtOiMeC2MsSrwB5gDO431z3QGVonhrKIO+tw+HV2r65geL4lyPF9Ax+l3TXrDpAhat0Kufd3trDvCTAZtn6agQSUGDlzJ/ENmsUWvAYnlApu1S4n7/fIvQSR8Eqxnff5+Kn6sawNetk9VThrbxv3gKolCoxA9ERrAPtX8cAHFEXH5aSIgRim7jmycKeqPehkSGsnyuwr5nYo1JbIIIWq/pAZKERLFsR2A7j45SZPS4ZSlLcmsUXYDoV4y0VRRG9GZd92R1d0ChBchgFytcOH3TgmbWFOZiiZtarKwlZZINaKOwcKHqqfEzjjvK6JUUD94KdRxLuX9optewMUrNMmyD3PzAOjQljiUoLCdRF21AG7dJVbz6petpf0FNS6uSzjCG7BZNOCswGV3kxu0kBegFxiN1TAzI7oYxBvzVbg9xqxbktmu9dt4BXRsN3eMQKjmaEbtte4GN89N79xsWeQ4ns8sBkSy+qpF0KviQ7QW6bA0WvMZiu4v6qCuO7qFNVlJUY42RoKdVH4NAFOkKVVoOTlzVnCBXZe7+X3MnRSmfqkHyah38urkzAnnt9n9WE7giWw8EaLAAj6jxvxeLo7zMNKGki6gXFAqmXgUSJVzd3sypptJrhm9OBdguBeRRaYqnmPcrgAzUoZD6cJ8X2HKk5hEtBUQhSiH4l0w9CTZ159/zFXYBZdFxCWvUItncRMNjtOZZhCSjvxlUTeu511QYkkrV3v+2GMyONxbfjw1MWwh3Jg1BIBDCEmYDiJF9yuN2JOBLdaY4RUzFEeXNQjXje7vGrgOBeRo7YTDJ2K/4KBhwkE6FKCOBTpPj50DQSijUeZQnvqpSe4K7c4DAtCzWY2rPsHdRqTQFIJD6WL1ZQVbrg326xQgBhKgTulyVLs6HPCKQFK6IkszJ79vpdnvEVk0gX22DHVA+ObRv7cHySyAHuGYyAS24D5tveHc1i5qCpg88T89rU3tLKsq+0SvB9+2w/k2Mo7Noz3Zyd87UnoeZ6rbsBTQPKvPaVV5VhXxyWFR8h+xYGrzTK9YHZ20n3b46DwFfcn6rt+jx/ehH7qm5M3Muz3+q2QG9lTBz1j4RkuoT/csYzSqlZB6G4lvpX9ZB8Jo2jJThMXWAG/zsl1zhStd/jQt/0YH3tJSqhb4px+xF97myxF1lUlKSA9Xz/3pthOyjjcr8s6xcPzPcG5sxiY9WsiPQlkJmQ43OPo8N97XxL8BPvlDPfINATXGETXdQWO8oHokQTTixf2pCucGLLhSWtDtY7Q6ZFFCD1GL7yAaMBXa7p1e4ge7lmpqiQV43dTW+CwuWGHkIEZSpO6At6b+zPSYdInV4wXJrZCkDo6Wmfl7PaEqKOPUiUQgRhIjN69kJeeezkXmqTn3RP5BczAKAjWcYAqIDW1alZ34HgR80DqYmmT3vyAHEIYyKq0pR5XRyzKTZDE6azeIgyOk6XEoaUYLO1uEFgC0Ok0GIcGDtlzpbKgUHb12U3FQVKO2DtmMZ6ER7cB08hA/DhZBg3u2rwWhlkvIO5xflR3AHigu+MMT6VfCNJRX61ELcqO1g/QOQV9BZrcCvmJWY1+e+uEXlhbWSVpHwQJGNhBEIQXsB/l8rkb6aOUXLkHQD9QFO5UESm6G24+v7VEtz8doL4A5IO45Jj+sXYmEUjCPfU1Mhvozd8Eqg36TcXGMKf7GxgtfaZU4JZPwiEghQBeVYG1H/ICEFP3xHEU3N1GWbumytFXTWGVRcQEuYor6522PmA3kNIasPVKdeWwS/solBNfXvNgPMpNo5VtM9aTSZV8WIFpO18OEntcnES9qQfaLkv5sGViMXWdBrSulG1JaZDa/3w3ia1MOzb4FSaB7aW87pSu3cgMQjwEdyZOnvTNKuDKb4L0oMHWLcj45YJbmmaL+4LKJ1tfjmSB/VRySmdZqFtEXavISFp1ennmYpoOjlyXukb3Gry7T3kRGIFPX+JJnZH79OghKqknR3PHy0l3Gs+WzUqx5X752Bq0bTSoX1ATlp+Q57iTjU+OtAntbElbCzWk0b0sAfMg5+WofFiDN+DSkrFbqyiIF0CbMFdYLojC0xzgWmf6KpyDH1GXa1CE19BZUSnUdwa6h5uQEQ6NTY3kXnCaogSPFnmjRcqziS+HL9AgTJ2rlQo9P9sdfGfg5+YNYwc1AE0nwYO+1L0s2e5iKvEt3SEVWXTrbJNVxzcBO1kjLFRaoCJ28lJOkv+0TS58efh2P3WIAQS7BfgvbBnkdr/19qQCDiJMvNj2AiI1EordSDrPoa7Swlaf2UKm8RWXB78YHHXub2aMUKote3l0fa9FyIz+IT9HG8FZ6qlW7tUW+n1bmuR2D4kCdAGTiNCFuCV6DSUH7yS1CcotmWXLMg1eWskde8ZLJ4pPWoxCyEm4Dlue1Hnwov5KZbGAVCi2s5wqJxq/pWUgNkMhBdt8cmSqeJSEp1aq6UPRtjaun5HvuW89IT0ycuREzcgMCKfLdroe1mIqVuLqatwvqeJAkdK+3692FY++5KzCtmHyl+uWqb17J5zkoTbELD+9pzF87HVC8mYE1bEzVYJG5F4uMk4pLjWJpWW2sxZIbsoW+0Fok6cRi7ME61nSXoqNmpbSL+WBR1plxegKtDNp70n/RXd3TUcnG1znCKTwObIlpMx6+5agOeWoD2JICW8rbPV1+AmtrZDOz33j0FETygTu2w/vOqm4RzmnPEA9Eum8a6Ie3nHlKkYR03s31Eps92mmkNNa5dCEziBFIEtZJCh/s/Ahzec1H0YNkROO6ar85p4x8nILeOvb/mJeid974339JMnftFGen2V95CLIv+IYJzvIVy4FWiDSb3MJqDDYTfWpzc74VD41q7Ix40ncbvULz6RMVRXOX4wLEF7W73t7tfce4DLk68f3PcAM/d4DbPr44/v+ZbYrcz5Hn32onTd+tmO5vff7woDI69/jsLwy8gQ9vPIqfuxnO5sCcwbj6Fn5PG7f9/1q1lVORL3bv++jZj/2UfsPKoO/+oKRJZHjLs7ftW3kCz+kHgP3t32WI8t1Xv8g/S2Abq8HCJrshZ7DKIKHqxtfRXoyQeAC+tl2vTQhb5cSeEjZqUUsrj1lWksQFusndscvrwyc46YMZsjO04ALqhLKpUoMraBnm/fv5dl1VXVcgMP/KOCiFnOcqLghTqxQOuETBGowmq6Y401QxYnO0KX+97ujIb2qVwzuNpDaUBB8giVfLg7HPgvwnc2FYRX7hvNDpeR5/t/+2//43//7Z8qY/wq+U9H8BybS+kU6nz+Rufoz981v3fDbsxuKo3tn+f7t49RXwz8TbOG/9X+XEOiv/0RGoD+VfLr5SBb0kTz1q7I0ead7/PYd+T+o4M/l2vohvdBvTVilv8391ycc67lpx59r/P4p+T+o8s/l3vrMUPTPq+3fMA3Xz03+T52G6/vHkn9Mw/Xtw4C/SsP1/qTkv3carpOVYHEaxT+n4frxLP7Ls8Qvz/6Qhuvngn9Ow1Wkf7PIn6v6ORXh6ZYncPz62t+n1i7aPyj0dxm3mLOj/zDflpx9fqL17WZfNj19pCr8MQHXO4n0+y/jO+/WRwa6T6do+vdXWz5cfU/D4S+/fX5kNn1/zSXM31+jDT/un7rf0nAs6v23MU0/Lvj6dPF50TtJ9We50f5b2J/gmJ6VnTb7LSfih4t9nPlt7eY6+S1K39cNXT+8P9b6b5Pqy/wICfhXqi+JeO0fsZG/fUv1BSfmTY2NJ5einBed/ELBGFcJYdWGKjGITiwlEnkMEtWOTk1pQxij7MwtMkhu3A8VHuhqQCyVvGUKMind6Qcnuhw4aEg4kDU6xcTmypgLlGuZKPOnHCQptUMkyMdM0GyPJ8ZOS2TwmDVyMDYueczcc3rULpYzizBlAUy52u9j0eYxeWA/juEVOduLRd0+OKEA+iiSD6DNRAcAwjL62HWxlltmPhUbbRCaOr8yidyoiwxOaoKc3jnUeIfGOpVSA9CypLUsEglYKeUBxPn/qgJOEje0ggMw3iTQfL2CtUG91/Lm5VLLB6stmeIiFBi6IeFhVsNDOdsM6Enj/z/y3mNZWi1LE3yVsJ6S1Wg1RDrgSEdjPUFrrRzM+t2b89+4EfdmRGSltWW2VVkPjjsHZ7PVEt/HWuy9SaWqCrcvwI5PSyXC1r4c6CXA7oE5tdXIoaxVIKHskAaVDTGMZCzxnUdIS1uvWJ4+0enrBR8Ih75Y6hnZAO0bpvoWEPm1jv39APV4a+qV285Lq7eccv3mczqo/c1nIVG88RvBmIVmoHVBDw8RzZjeLRnMsBARkF65NDt7H1fWIgkfrq7cPTPJF3V1kGD7MTWtHjQ7HUhEQY8etw2m11uwmLa+eQ8uTTfCQ7Rrvv2uHyk00dC3vJD2TTV9CckYsDbFSlgJ9HOSXgKlMjvzqd7D7RJgzYe0Xg+oPuAlhY7opLO7SfkdlGLyrXzJ/JL7dWrc5zPAGJRJBdMPvDEGOjgDso3MgCI7Wq51+/k9Y8aGVtrDZS5nbKEhduuu8zcuvHkSfsEPVAsnMm6njW/72sXfOkPiMLZJBJTRUJZv3TdTE6cY5eJBcVF1zyWaIXrCG2G1OfVTVBkYZ9rolA6giYJ6qeLDl7rjRbJ0KY0uE1k/sB4v71Dqv6oFqzMVjhkFa4rPUoKALOxovImLmevN1TTv3hoJgkPy/vhnwPRa6UNjviGTIeeqmyOX5BvKWlJl/sp2YNP6DuBz4QOsieH5qO+DrO+dfg/JEvepw5ZKaDna4OO0631EShkc03JuyF3b3qFsnNVDolr4mfDCIlHCMt+fiHfaTypiAgq/ChMMvueSxj6XmyFzAm3g98MgC9/FLFs6a6EusCYSNDJr0LRZB4mdlz7rQ0Kmz712n1AgosVZwoqh1tIW4MacjnJWXkLszFKXRPC60o/+OtGm7x3pY0ChVEqI0ptMmZ+HcSgrZua0GrjeO8rV0yTcRByFrktc0Bqyd98VDmM9xLSdZqfe1IJulFev4ZopfPZHWpNd7qeGgYcP9GE+PsodEX4EavnIIuwXaPyy4jLbPAxuidZ40x8D/gIosoYgNRZb5isTaee2cm64bORnd2st1a/SaWX2w+5OQpPT9yMPHzXHMy00zE8lX/A213NvNGSRggDs8MUW5clWZgjZC2JzjPmuAE5TfzlSSL2dhtQemANXdAaOet2cdNbImBAJ01KpBa7K+H4EZXk9t0eBjJlo6RhuA//iRofYwKFzKLw45JS9Sa3TcCbVIpSx7vkwK01vKIGqfJJKSndQ7UHaXiH4ZeVtlo4y9EGtqsVGGLS3GsJZTifpIVRlYZ04+fnERrV+pcUbb/whWoZT9ODwnmYam1Ol+Zkv2XqrvECvWzQCfpxI0s6d1nUdA6Aa7hUD9ceLJfcNNnjPafCZoDyoh4LRq92brqNAPLRqGLyBUBf4Q+An1Fgx+8LBUKaERwasVCCVkVmKyNvOpSSCW008+gyvi/gyAj87Kwk++kfKimSC7/A1c50O56AmI23KdvwX9PkPNg4pzxANY9KMBSzs85/1EB1owxkmoG20A6oB+5R+dlKjksmyl0Nmd2cMxN2A1OHFyJRRcYP2SZcUd++P2jotX369E3SotKT4LxDMYyBI5XRToKueJdUSWkDUYVPmGyb4chUoCsydD45G/M+jUMqiJy9nkWiNkQv0oNwe2En2tHYGNmBFf62vb+1G1UROQSHRnvIKUk1jOYxHka9fanwU8HsdeoF3EkkcBmjTwO5Rp29panJYnlhUguiygQk7yOh3TbGvPlbyIHfso397WhJzj6EFDEBRrZy/TjEVNShq5yr61G3JVbe/AtMk0T3+nVEH40FoiAQ+ebA5/G3qNg1d11hRgcEkB+DF7A3P+sq9NEIR8LWzxs9HCTX4MesPGDADd7nA3h+aPBZ6RXaJ/sMwbxaCzueWtS6d9P6JSTrLPtJ642vsqAdyEYwgwOV0EdZKRI4zvWDP9jj3bAVzaN60tLaFiEGNTTtbLvfv/GDVvvlE820O0dxFQpmWMXrNONS7dcnpOMjtEuFFvplEdjga58hNeLvXGjuBSg2JYcHIJQBN2zzV5J1b17drvnMV5kHGoOA0Dq/D+zq+x02f8G6nmtdgtlRN/FUVOna55k1+QjD7KHfL6Wf2oqWRLhhdUfxDet1yswCVUVNcHE08pFtxEUwKwdWoHRUwpCYfPIEuWw8vbp0tkTE1w2E41j5ZpQDkOrE7OLCviAGnI6wbW2qWpofLzmAwpNRY+D4Fa3/hFBWgpUwxAVtAXomdcsC/sEeArTI/XuJXwjiT3WSU7zDKOTFZnB/r7e7dNObhLIr3MLOfcspUNNxqjS/z9fVi/oidpkxLa/lkfb6GzYcdiSI3QCnAyZyHnbc88CImjc0qklcH1ORGlFc/ZFyZ8jewHV4PF4k9HIPvxWUfx0qUNsVk7m+JKSkSs7gyL+CNdNGFjD269rg9uiyl72rE2t9eqqd5l2Sel9CqCeWxiOpa4jEY31OmKptDbC/LEgNJmtxxJoxO/C3XBM4R4lBLs4HWi/O0rzqXFyWVFo2ExfgazACGwQd3ac12V1DddK/YFwiRd3riqrfX/R6/gUy5xgFTlOrKzAouJMoeWfNSj418mGzozljryQsPZ6SHoURfwOFpsAzOD6b8fuS600/6uHBHcpN8HfhNQEDk8YKv1yVV+qIxOaJMtY0O5NA+3rOBZN0Ct7ziMUpoz6l0rVy+UKrDF5kQJsn3Xsj2tFGNvNJEj3InJ8o5PkFkDAk60fNFzOSKTyh4Y1C8F5OHJDBMj0chMJx4c7rJjj7civKdQ8VQNwOkqGqHOT9PQForXPakX4csSEcg2NZiigBD4cC1FZm9QNOEe+Bo7N1s4XsrpcYvWQy8g2Zt9kQ/XPOau71QxMdVvYCczYlwYj6lvb62+2gYWVi+VSksVZX2KQvzX6Mpz2KmLaZOH1kLSzrVkmiN+UYwyjcj+1OgUmWZ/pJDk5eWai8fo7ofgliGj3ADF/s+w0hIHuqjCs/PWzrpvFTGVFQmHqpxYCISx5BZ8dxtKvbzlkDzoczE9Tc1KdP58IlqDY54QJjZV3hoyVkyLqzhcxoLFpUdUb5fWGooZgQIfOO7ILlYBgMVzbWKkccnhcCZGZvYN//FilUyNpqGMwuD+YnsT7SXo0jMoCKNFf79NsggxjonRgoc2be5XbIF6b+AbsfJTH8rWb3NHZJKamDuGOOixknExm4FslpiU4Hi+TFbAxNntqWkBQDsxEtFazpEg8Txiy4LXgvk5+oX8RaO/rRDKWL1coultfMWVz/HBEzgXPLFhV47jbyjGt5x39qIXp+XnxU1b26QhSZ4rmMBIME+Lr3Wlr+GPX96V+6oOL96n+0jIIf4EuQJg2gFwKNVZC2+wA7EHvqMhkIAHhiYp5Fw+72+5CI4OG+k6MCDPmDyBaZEU8eHFxVADX7mofmEw+sFjEFDE3boCuEUIR1HQQkZSszSQDa62u9xq1aR7uWXoJerR+8v/SzeZaqo7LLXaee32+ogG0BBwqNZ0SDwvXnyCbKCs3fwNbSe9+a/I9Fi9cTTHgBs+czj4kJD2uKPHq3aB+GAKkM/u/3Boi+LQSpJXDIEHZvKQADbz9AAkYmYcV7lgkuBfy+QgCdk/cSWMJL+bZWaULpSeaK1R/r462CBglBFUqzWpAzoYsikhY5ZI/4Y6Ap9yoffBSjf3I9kQtd2dDSQ3OG63arQgjH5RbqZogW2FO42YZnvgaTu4nTARsQTJRXg8nmr16VcC22S3Tm9PvrngX2jgWCFJ5gYyy5ukQ3k9xTunawjZ/3BKXABkPnT6VTqCKz4sFhoMdeDbLgITU5oRfhTWJtWLcBhZfFHBheKYahWW/mZKQw8azmkdQW15ISGC8sqJUeUfcfsKKoW9yr4R+/NjfIhR5YDxtKQ8GTKxMC38XpZOXOlWtWxVp1epCFuzMqJpyIojXEJYn0gFNwa+PzweUaWjFeboZfSpTxBQ4v0mBHmNAKN+wE53J32XVWh9gEHi4ucblcGh6kG+I54EIBJlsZ1tzj1rPtQ/S4EePsLqjKeHf1jmb8flg/VuoBj74pZhp5Cpagxt9oYzHwznjtMMslKZxwmXnWxnavWzfhdxngaPn3tnYa0XKj+NT8xe769ava3OndH3aDJD/HRaM7vk/H9XTUaZ/UxHyBhrFY7Sr800iyV9S5tY1cpVHxYFM9UORd1jFPT+/SIFKxZME9twzdz1UYQ1vncH8AWW4pLbFP5jHhtrGoavLxo5Bk8lWYTNuyK62Qcnye7MgJrXYFarsfHRXcOO1o7e655u1LIvr/JKpheXTlx3BcaQZemDILqwF1GSl2Fv8WI9ZPGjE8l+rupXS9H7V1f5RAY7FzsKqrpbdLKpLsVxWPti838YCWtVXpGggREnNuZJm5fakxnGeszg2/AgkJCvy088mBUXffE53yM56OTx3gmSx8Wq1Z78djuf49JgjAUmS7XNKt6bH95PVgjV9pQ4mlnYVynzBdJfAx7nWhupfxck1by+PgT8cftrZIYEk5zsulnf71TIRQWtvo5xk8hfJkMDWhCVh96x4E5nhayrZ5U1bSbwJICdQCLp+yladGhDtVkgBpY8GAJWdykC/V7BHzoB75PMiDh6EcJ/EdPXkFJZIkQ7/d95MCaagflLQXpuVNxReYqEKbs6wnIfTTsu0BlKl8BqefMqet0B+DGcMX+tDGV932MkoOeGoKiDe28Ibibia/2yYViGCu9g2WV4aFP8XF8ex/ncQrzbF0zxIlWfYYhYvL0yBkdukIR/GDNxAaKMu/WB18dvLdJgtaWOKuiC3wlt6dNuxMi63m2KzEaxW3yOc5EUEbGdVPYiTpUgzCVn8BFg2fMBgeSrVxdDmq7pk/3dTLv/ZgBErJgA2wz6/Gm/CJUXKjfjkxplbDNjpVoPm4Gggvi62tdIhYzOoez7Jxc9ja7R2j1r2tN5H6wp+Pr/KztAiVg9OVCg37s5bodWEwcLCQ4zagojfViWvr09yiJBGQVc0Nt6zhZm543Pm1D6ZziiKNlmHrK8aHJlFmmm5RIleI3h5muhj4EP+C39Hp/4dzmyDHnFddHlevFjrEAx/GbPRUz7Y6wb67E7+DY3n33dLB9e8/kpiw+TXYt+RWQkwWTEQxsyedo+96w2JBkU+Wp4bwGaFcfPDSCt4cTS/H5Tjw6jIveoekOI4T1VfKHu/TgbsFaz/v8aytXXrQUSRRYBqvhQ40/1qN8uSopMXM+2NXvuESWWDZ8WSdrOQam23Zf2qwNyc1hP+Tt4fjNJ6mYoCofD0zxeBUs8c6RQy/8itAJnei09m71HPe/UnjuHx7z/0/Cc8xfpvqvgaK/PsBefzY8/6lm/Xky/vM4/KzGLv/t8fmvJ/FdnDzi/5ez3qo/PCpf/1q+/Nkb/Y+P2X+O42H9tXHhbzec/xqc+T//g7DD/zQQxvxl/S0e8afW/+zf9asHf36O/2uHt3j4edB//Y9t/B/7kOXLuv106Wnm8If9cP5JVOM/0ZSuHvL/znb852KDzPAT54z/qxryXxo2/GNv/vcOG76xJP6HsOGvk/8ibPjfvk05nccxjeNFlv85bPjHs/g/PUv807N/CBv++cZ/3uvxV9j57/L659r+dYTxz/X/B1HDPzfpn4ci/+VGPT/BuV9huZ+9xf+gD3+Oz/0tXPiPIca6+FMc8e/Bwl9nlt/jjXG6jOtfNzQ/x1+RxvW/KOr3s8EPZ/8W9eOk4nUqz4Gb/WGDHxNRE71yXgNA21HCwsyeCmmUacGCiiHpYRRQbvU99j4cmUE+5ydPsMQqzYF3cqzQUOxZsmItAsM2y6z8kmhK4y0VMyPyyMgJPdnzYJg6W0pHewFpIH7TFhEYhGejaC0DEASjlAEimWZeEJhbK0NN5hE2n5P4hAwuHCijOiDOQcwlAEBNS8zkrUwrFmcp0fsN1O9hb+gvntdTAaI4khOjB0Kglh1toILjTYEL0MDgBL09Qhxz4i2Cga5GJzhsEgiU4LmBY7bfX3IsTFpzE12Q0DoWT/5yVepSyIMwvOdXu9X7ZrZmitTAY39/p3lqiurlADRKq2F4yYPNkqBT8Y3/bvl9pVmwoNUBDhOfeXCAr4AFwWGhVyzc/PxeIzM1jA9ncv1Lcb0rOTihZmkeCz7gzxZDlwBjnXyIssnUYNvrVJO0ZmAlufP6xubO4y87/8SqRxlal3xgxwFARggdqs6r92e4blTkMkk2BCZ6o3dHkBcv81mm7mQ+k0Fm9ml07QCACO9gG2tGbYN9kznxtgjvlRk02NAJi+iyAIEwQA7NgbyfpkL65hH7ceUqgsKAxl58eoQ0ChtjjSxpRpdfotw+FSVPLEl8r6tGYNPD0Zc+jt2V+8iGHJbzkMqUaKHe4lsh1a8PYKsBmgt4kib8XOLL94GKxdva7e/pxRUKyDiTX9qWJfP+6eVBe40PaRXTIJ2w5l3SCuFpIcndxP4FlcXET7JrhPcpOO0hMocqoPvYSBbsxAE6X8wYTQCD4OwaR/vCU/iHtfC+D3o8a7oxTBeiurRYS9PBajzn3Qxfat8wM5EQEuYXkvzIEwS7Q0pA2cpqJX2vlywAQiAbDC/UdeuciBTlHqWJ6ctUeJnseo3wditZ05fW0ffXSl4Yk7Zc3qgcAAXrcdqquchgl1fkVUDDWu9hbd2HD3n2USCNcjgxQSt0Xo99ppPbFrSs6C4jAOf1Bus1H5CfdyIVNv91SSMS38VlS1JfnUmCax/pCw8oKwUw4DT+BOsemUPoctveLdFNDuzU3e0HIbaHvA8JQJixqSAw7sKH6cdX0ARJ+VrBDdPD19cJJCIU5vpGL+x7GUFedXecaWA60CbPZ69jVpBzP0l5vbgCcWFMBO5DMNL8pG6CxBrvjBaq1uKC7ivhjQP0/Iyt/obvaIBgWaFhGnhYO5Any0pyGJvdocvk65cFqtONN4ph8tzcLNOrGK8sQ+aB9Dhy5iT7KYyBKNwdZeJkUc4Ti+nFlj4nQkgQ0xaXYFlF+zJKBrBavqkbPwNIm70nhl8rE2XeDPiyyu+ZfpIuDqTVtS5bX9KjzdJ5RhBH5MvquHo2jvt+wm99CXI0mi4Ndt0VQpl+xPci91bhdPS9jN892jpNYWyQVbZHVgiDN0ETXGLS48oyiXovx9EI0TWRFUd4i7aQV82v+Ppm9Rc7527cKC9x6h/kkgtaoO41NtjKNJPSZ6WgImg6b2Xf6mtb1oNqtV2oRVrQ8ZAS0nUMFxhxCGrpsCgkpWKXQ3Nk3kf4YiUhwiYNRQ5eEbuW67NQuSAp7QDEVyjfnh661s0SgX6Y42uTW1zzPenZLIQ1oBOH4NSRARF5UQ/wocOoE/sZtg7aPfw6IC1sCyNZp4UIl6zooLJy9DSBUEiPQ+n9XsI1Y4fA3qektTTcMztfFDk0/tLTaNKmmzd7GWBL5m8BKxb7xisQySXt3dwkerTXcuvQa7wX8AMpu/OCNxx1O8JNobOuLfvNTJ1Tue5LJuIMlnvGxRfaGIc0SQB7DpSnX2kPIS4Fw8Xa2vTnm2ZQEzBG5sdUT6u4eZJLjCMIuyJWxiWDH7JRazJMp5Fm9m0RcR3lOzXXhjf6Dm/ljUhVNvjObdM68UobwQuRCQZ7GcCAJIWfHuyewKh1VNyyUl706QpFA2iVXhnRlswkfJr/FUqdzqP6WA151KTPoNxgFLpXqhFx8lhEaF4c2RMQdJPr3J6QHpF2o6poOmZQo2+7geOTBEyBk7gtBZYf6OybAN9ILRB7Yk14+aXrqBd4+pA54nTzl4FHN7QUd5paW8qlWOt/5/SLRNzSI3lMi4+nigwIoWVyMm0vsoVAn4VvOYKwXkw6AZgpQE1hCGJIayAagPbGx75lMOHGwa6kuHAhXvIb1YxJXzDUk/xCjWMX2tw11SyN7e7xZo1ltEGxWI+cGZ2T6sC9pTyCnKgj62bG5hzq56uUPqAmiFJrOwZOR+7XylokR/CkLHKLQgjSBUBVU2m8Jqb6i54HHMxdPTZLO31IiMpdtyruZobBtv6xBTZ/oI955pDqJ+O7XCVLipAo2kuI2QshvrN7SkxEI4nHaHLsA737D5FzKXdKbW18eEUB7pFQ9pVh1lQpxZH53r0J94WT1oat4Pg0UfBA6Ffd+oxhM5LCFcCDqi5GwGWmaBUEYy2GlB36FoW0ZXM3kB1Ab9otkRiBMS4VsQhy8IwYB17GIxw3MNxzhjrQbhH3dGY1KeRiRMEQ/dY60TIJonr6zpEFn3zbO4FXz8e1jLm7bKwg7XUZ6RmpFr/HmD9J9CyZXDcaeIqeuo5wXD+ABd7kGOE4b//1XhKlt9G1gKeWyV1Dh4nETSSf69eoiyOH2nUlCL934nHzgN+yQfEEzQnlfayjtQcOU4Z85VdKD1kCi+lXeOFFu6fLmsJIEPK1qcYoMBxOtRsFuOmOsG0feI/yvtY/vfoe7VqVeMIBBM6OjmtUKjjFWUMze/dVyTzR1EazCm1i8FrTx1o0PwCbJDvQxpyUeinelXrJy5GIoKen7X5BECtDyMniffRq3lYWpAQGMxaYicvM1MWc+Kj9AKLjxJsmFhJF/75IpVX2hBl1d50+u7jvIpQ7M/HatUNL3IL8DgdDWOqXvabHSLZaNn5aMFOll2vsaDCPyz5w166nDS904jVC6IymqXTyjjxkqmht1CquPUkUj117hOq5noqjh0j26QvX9tehg4OWeWflQumBBUzMDNfLYOlRofvXBbZIiedlHSWpgAIf14HpSMNq298jx5P4QrsQCV7fKYQZkpmSODj64afXI9Uh/YzY0bV//NFcfnm7+W5od1G72pA+pRiF2FdPG6PCWgDFqGprRnLJsDA0fc3XFYmiXSfqO8lxGZl2brRghLayHLh2B4xDLIx6Wc2MEX75+TsE+nluRFpPiev+VAzCkXnTnWtxsLrTJejXWXc5SMDeqJ1D9WNGYS8wCF6ZYpMpK7/BNdTSvdhb494vMGMfvN/rjm8OuI1mp8UQ+kbNspTQmCXjstk6F0auTVwy6sm8YZXh9A2e/cF94Y8yyrhYO/fJC33nMo/ypa2etgkTdQyq/Pj4gXmp+rtkrx99jL8yUpIy+6OyOK8xqx96DN+WNKTv06j5xuM8EN+F2yRRk3K4RjFOKB9B+5U+39V0rEeGMS0RKITaJVKTkFTJPn76i0Zs4rYw/aB+HXSmsCp7i0HfA+vLcYSkZvZ4+yr7uDYwXzBCyEXZ0gyc5nm78kGUPrMMO8TnoCcdgTsebi4PyemD8jsquiwdH2q8VYBgkQDTib6iZ5hORX4FEfEDtOxR5YQ/Z39xexVQ3KFFd57hgMX6t8RWamhGELgY1cfqyUklmu3GBOq9VyU+xoldudVzry+Z7/RT/iCBj1pAMvkAAKgTCx6Tn18WR2Us7i6/h5+z27AH8Dxny6soFxNaQJ3e87YfZi/YrHEJifltm0vOIz3xpUhStZTd29zPG/d2yp1JG8E1PwmqJsg3g4sRlEB1xaKDkGbJ45sNt4LRORvq6GcBvm4NhPkHrdV2K237GJ0VDFeI9qg8nhYv540BfcBCnKPHkE550tJFe+8DRY1xmIJtR/c2WGbfxkGbvOWBMLhvlnRfu7W5/rlozfDZYvKa6vZ6Fah9d3OxfMjJ1j8yrX0jYIIyFG0nKw0RFwMwgvZkqHxM5Ri1OSwbN525ILz7AU1+EJmhx4HvxQ+fQ3g/bxOhfqcdyon+uCxzB8EqsA/gUGkVGzYiSZFmeVhyr+nZ+8z2MU/VIYOGB5h3AHzp5HL6InoURAmddyvEEALHeQhbSWF8fF2nIM/kNW9MhDBR6eY4leLQg4F8V2bMJFfdRfGPn3t8ztC35sdGi1M80s4+Vl3m6A2Keo99yCSCnivpvh+K9BEjOMx//NYDkm/qITjsN2ZYa3o+poMNIXwjZOv6SIrmIcUL90XiNGXGaUv1vD1UHvlfeqcB+rWqMJP/+EMmqPpp/1riL73DoajDivG5iN+rRwKlo0yc0xpJCflgE7d5a5Krz9Tg0HqWlv257EqTAzBIH9ata9iu1uT7pX7qd97GGbDguISItHTAKILKVfBxBkDiky33gnpGXHuNWyX/ZvzjS1HyJcDqaNulTFvdZwcgJ3Do/BWPZ1wo0oql1CSJQ1xjse93yHsmd+NLyhLQxQ8Rm2D4KH1LtqNVIWIbwdwHHkwoQk4r8pryI2xjRtN7xINKst07NGv2zXb49nM9CM49VK4AAVKgBotaO69JcgadoBG6xay7+Mg9lYQx3n5S4SB0TPlHgnlZkIsmhVNq7+JUl659kwAF4H307enXK2i7fu7WtgMe3r1m+AAiAZlMDOoy7Pie5s1YggRGHkpYecSD6+S2z9o28EuQgCJHvt0bkAoiE0CIkhJpimbYNmhrluslYWIIe6vdFDfaVvmiTdvIjy+lMVn7fN3FgY5HogjGYad5idGhJxX2oFSE43uDobuOvV1zWW23l+JGVGIYZQj5U36biXgN35wFjVfakAq+J1gHoCqkoPkj3TltaHnk1cBMGz/oCCOglnTKW9PyqlW6PORT3a4hHGC4CMBRYz6B0Y1p1Cf0lX4UK/Je1dtegXV39UGVxaSFvyf3oZhF9039pIrsRjYAhErExITTqOchQWlzIWqaZ9LIzTIv1lpIVevR49PK5IJ34HWtjbPP/eGwbE7TmOi2MeCIJL2eYZMOdscJ7tsZhAzAP9pPMYCtYT4cKwBvrSKA97BMiTdE51d75k+RLombPSWOySUqPg73Ge5joYUbUTPS31uYTyG6hJrExK0v+cBZowFe2EJfq6ZW1yCdLoKuCQ7SSRh/ABFdPdJRX/66AYNB49Xjj1yIDEprd6t2SbPLNSRWbTzHHEiqBYudqPs6oqN+/+q8ZFWLMyOKgUGzEdgwrTzeGA91aeLPwaZpr0ZIc0SxnPN2pJn0km+7D7oimns8ACECo2xnIBZ4QNNiouDEP05UgInKKyJWFMGI+VHt4JJxxaP5NOCZhWcEG2KaJG1eC4iMX0kR0v6rzLSORJLKAr9sRPFK1bg5i/bHPT+mdb0Ml0/bBx/LlBbmqPRXH764aNJS5W/Y+oPFJ71rv/lw1Z0MVMV/uXdQbiy4IanwaQtjXshkZXvwfcrXi/V6pLsio/tb0PkP/laQB//IhmlLDi4/HQvuVxeFJf0FdoGnGTmIsdO8vDB9gEXn9PKOmkIIhd/PBGI0OXe7+jVuuWQBx1E/DBFwPwFU/No1npJTejsusRjsBIRfO0KH82rmdmzUFujZHhXLsp7ntlXlbV46q61mrK2IeTLJWlI295bKEm4R+M9+SKTqwggCJ/njdV57HMrvkM2uS19JoT6sLwGam1ikXv9is1lA+W8qxzyoDOedLRXj49yw0UD+te1xK95Y4n4ux078d4isDRHGODMEEVjuSfsAedGwPicdEOy+qR9QJ+JhSGWhlzV6BLFlgpBNeusDNfUI9bbmpd+T+2epGFF48agyGY1u0pjNvT5yIUaZtkGs09qHyQEQ7/DfbGSOt0ZvAN1H7PAZVH37yLV2qXjGVguaCTNukLwY2h5suA39oIzGyqB9Qig9rR2EpNGB4Gp24yA96QzDAYbYN/YrcieLfseoUtWwpF5TVCS8YbPnNxj1wWas7RmE5UHJ6kF/h5Zvpu5m9w8Fp6RZf7GWzILpEBunQTL1S9CFMZYP5qU0XA+TF+BB7mGWTGoWwFyiUoOX0uMoqxLiemx3kJ0C4I8bJ/cv+YsSp8ICW9tQK/LMft8QxB2LcBS7nSxvMVK3UygHSHkYabqjqcAaFh7ELJ/E3gNi5aa1LvshaDP2qh6X680Xwye5v89bHXjiozjtF58oubG3wCJ/+d0EQ+O6cMVfflcAhGkJ1J/zj15trrN/jx99FPOX+b5HLXtkJHhkxHrgMZ+WOokrMH7Oo6n3hbiSRbOmFXyrXpFimkuRhYoM9JdOuzICheu2hP0DPL5rP2PpgO4ATFGANItVEDNSuFcKVQkFVZCaqp291Xez8zoP5gZIG4mBZdX7bW9KsMVL3b4L7H2x5hqpZD+E5QMRUzZwtPy9dM2SkBGgzFGErYvZ8cN8fPWKNaKT1tLDHciYWKw32VPEYii1CMrLbPv+QdjvfZisWexzJNar3cfQSOnw9KA5WdLB8PjWtUeCpLqrWnaZAQC9bJ1ppn7ra24pBn8sEVvPCAyxP0N+T6Cvi02a1pIoiGTfWG9zJMDefpv6/lk1nQvYsWkB6/FKJ7a7eIeGj6EhpooGNlxM5/czbqCrArEGGsse0PNtJcvrBWWUrxH7rkc8m1Yk+30oQBeEUqbDej2Cg24CgAXOEZwNuhHnyBdp9VNZqLnHdCAopQcxdIB9za0xDl/TukHSpwGq3X52unZfr++2Bk48KN7qVeCuFkGQr1eoJTKlkkC/yYsiMIBnjTYMFs1jY3gvhdH++lpLetcoz7MuQkA69hC/UYcaZwf2AX+bnsuYj2GEHfbRmUmfN9SLdyv+TgPnTH15+gka1Pen6fgdwhImfcgLaBNuZccwJ7t09FXa7O7q/hb2WCwwSND69rNbaV1xUQoLjcXnLt+Q8o7fQzgzMrikSe93Z7ScZRK9emD2YVvFGXGbeylI8JOgvDQVHoj/UBibfONmSEIKC2Q69zhiFIbtTL/c4gM2YDKoJj2fpyXECaarjuxRfQ1WxNTFIwNJy6O8U7aXVJ9vmbOaU5puv54Pff+Km6PLmWY63EeNT/ua0i34tHf38TcqLmidIzFJ8PDQ01JWH2BpRc2tU5TQpDj/137h+h8isP/TjI7f3gf+91HPXykZ47r9Kfz52zV/CoL+7cXK//M/CO3+J1Ii/n1eyU8iwl+H7U8R1/gv568z8R/a+pOV8MdQ6+9B1t8DrP+iaf+5bI1/la7x39y4/1wKx3+Q1vJf2L7/0syOP3byf+/MDm/Ch3/I7Ph18p9ndmDkf39mRxETaE7FyJ8zO/549u+ZHUVOxxiSxj9n0X96Fvt7Zsefb/zvMjviRwL+739e2Z+ulP584Z/q/3PCxvkzfMu/uPjf1a88cpn/3PhfvRb+W55GMXbdeNZD+Zuq/P5K9u+LSFRx9pe1LodnetJ42LrrMX9/S9t4dOeZJfgfMjXibnusv7E/bX1avPzhpXIEgul/+ykE/cqE+yn963wx7ssfFqz4t7/8jMm//eX3Dv/bX36N5q8yf+3XbwtTrNW4bI9M/iV5qvnjgg1/qden7U+RP7X0t0LdOJR/K/Nbu9Jft//9qv/r//h/l2yS/2Q1CuVfk014cF2L56Bk/p5skh7I8bCemLkR4gIc7gxfeKMvHXhqeuk8cE/3rrQ3saBhNVDBESpUFCOfrpCvw6JRzL7cDEWlEstRCfLMSbHDog4zfIfkCa8YPmo8d4m77+48O0eysOhSex7s5QMxb45StCYI3sPPBwAAIIdS5e8rwwkqK2ECDQKTSWExDYL5Bv5w6fhNu/Yo/1q57WeFGMskkY2kqp9HZr+vtAMxLqvop5ils/D7SjUsY1va6++ryhDyMww7Jpua97eVSlue+f6tfqN+KlF3jr/F58ffVrJRmFP7fYWcih9rhrHJsqS+7u91P3Xw/5/VEcoL53dAT5vaDt+vPEj79+TJM1tqq9CqvHq4ZvaqlPDy1UsW6SvDwGPYnX4xhGZ3UV+FDbwACUIJxNgjIrnnOc5SMEaowz5v3VJIg4n2vn1HdGlM+tblGiVevDKTd79p0IA62ef35dCISLIIbYT1e2uRHgRIT9xX/EaZVuIsrA2Qrs8Y9r3f47gEdn4WkzhF8lRrqVUnk/Xh4YWjUpyDzkBTesJajY2vzSVSME4gHWP4cC43U54gLYSG5+T0GSd0CNLOlb6mosDHmJ6dsWYamb5fsEup77S/WjTpItbr2g/YJg3xk0glazJ19cW0tULRr9D+CXdxGyZxRzDxcgK/pmcPbVVN7dQ3EQXhp20mD5HIPIAJpWIARCbxAzoLEujKaZfKlVUsWX4J3crfvj6Ks+9F+T6mnfSipw4JOCC/CJk9imH282jJ7/pWUIq8O/3uPY7s9CM5XfjQE6K8EGsZ+mF3RyVDuCHk7X33ieRhSWY2nFghv4G9Kg1AIc3ZNoT0pBOg0JvKW6sr6Kz8Ryw+Wm3agqW6G4SGXcBxcvkKgfiC6AlPMoDQb7g8cMp8yObj0dJ7vHVs5+I92LP93EfwTYjZld3zuESaT/oBnJ9dELc+TTrU24taplRGTuBCPxeMijkHoQcuCYQHd48vnJjtnh2qAombl0fHeTRIV37pGw7yEWqW++Eb+P79RmqBZmoh0nKk5q8MJpiLvmL1ogbMXTZEidGDuPKKl/QXe7IKf2HqTi8ltt/z8F0oeic+CCx9v6oifTMp8gl0ODLFEOrkEUwl2N36lhbd2hX9HvUb/ep3c3wB0Sfw6sjBoL/AJYZDso4adDDyI8n2HNI6wDrXI/Vzk9x1ieSjsyZ8ihMBvB6iFUmMylyJeixCtbaor0gecbSaB17D/YWg8tMNh2+kjARHd9u36Nojs50gsf8KL5CkHTFha+R1iER/o4msPb5LvYtv3fDhhXlW1RdmOjYmXk3DibYWlZcmMF/84//I5nRclbOA/UKPFGOMQlY8mvjOwB59AYJs1iruMxKzl8FL86uJHdK8d6zz/R6g9zsxgjMZzi65ix6kzQKnH5pyczcZxI9w9IGnQnlWslyaHYGbHWNWYKDX82B3rV9AR0cB5s/S3AAVQwy6R26JUgNz5NwO9+cYzW+2ay+nkK9Au/HQOwyZQhAqlxT2XjcrBjnOwYi+TQthdwfGlFQYoNntiAMS7MWyY/EvtG/XvfAIbhy5SK0v8hMMbHgQb/HaCn0lZnfD101CvlKze32Nw0WRDYHsXFhWS9UZBDjDzikIYFAiqTjdB8hjBGPiJhVjocSBVQpabVLlNp/JFu7je+CrUb/vLkfHGqVVD8SzPSl8jXgEaRO/WUAezi1vOyER30SyT8kZPnnHT1FAOUcV8LsBon7EYBXe7+XG2M6aZNkn/autpxSIEY6YZokW/KtvwuyTUXJ6gz32/M22S+dQyh+ahKT591Xa0Oox+BuOSB9f+s1XSQVnsxWK7hbQar9sfqmmjz3n0MAtxN9WaOOZ7FRkxEzzyfzrit0G8//DNvHVyBQg/eCDKwJB8FUUAPgegVUrzzKVXpzF115Ziv0tMJVsvNlVlm4aMIWpPjZKK4lSwiyOj7jT4Siba7zHrrUXdXE5XPZqHeVvWCskYu2rwTTK456EU2iTp9qmYbkoB8M24IrtqYXyH79uf1ZFfjFtYMiSyKlrrQ+R+IfzDZaqbie7cp9wnmmtXPPxj5+/zmf38cO/SpAUEEhG/aAV1pgpOMThIk1pz/7v3zkewg/h/yjyJbTO3+8d2jv5Jnx26+ZtnzfmujxTmczYoT8pkfm7I6foKb8aLsT6rTQsKmWRTQkmhLFiYQ+DbqrKkH6zzEd5ncPwjTVMTYRCEi7qVx2+BHoJ4nmoJ1d9pR827LnFeWq0lgo/YzIw3a2sV6S9it+O5wuYufWpCh63mo/K3lKhPfQjKb+DBLGv0FEqYxMdzVj+3o/hcGb2pz8o/JppBGd+G2+2VGRAuFKk3D9N6eDtFWqIZFR8+9sxIFVD2R+4HxBvSSZbancqTXmLmwEXypRde1wQtY9uMdYLvyrWfv/OYy5JP5oi0rRzkSv5BsG9WPAVPA2NPMCj8u4/XP18Y7GiAYIFOF+yvc7EmL3bTCA3J4EAj8HLxO4N35vegX255vFV/aIqmnH6IObe+JRv70dsle6EbhSbq94cOkp4xFDGTo1/8VPLR5TczxCs6P4AE0mgUfTxIb65ks0YT8Qxuoqp2idXVt3KTpWpotHVyqthv2aDaKalxDla/kiemUInJu8CHVHKa9VX17tsN4VITpjOqvr29xU5zivw4bf1o7RCP+RwCEXfBxzAsk4QHAMaXPMY5MTqJYMCj3TyVjXKunNavz3ieImQBUMaYgIZPz1BYwWGiwq95eqFyhOwYgtsAPj0mGlKqdrqopUEBvp0oQnIY5XpFuOUkFCKKCZj2fVHtN8w1kuOWoFvezUKyRdcLoAphSkgqd9GiwesUPoO7+KQXVhaDwy5Gip7DTdJvVS/MD/psOvhJwYX0YVzRfib3JAUEdpSaQnzA1EWdPmTPjqqGnP4S9Jqgc4/MZ12f9UlW6t+7jHj8x3Fh/Z9A0Deo91EEYdW0NRuhgAULctQ0eWDxkEblsNVCJhj/lpcmGpCwpHWKT8cxPgSRFGODqzQxA6Q1QykNlfUZxnanzRzzvxgMEWCnPZredphjs7yzVlBA/QfO0W/fSJ+vLPE6k+7elRcKnnnfXdwcDml1Gl7CTCHpTyJja0caxEHlSGX5Wm/jseHem9jfkNWNDrOnOoz3GLSY0KFGcNjZcrvqTtd9GeLdfZp5EUW5fLI+BFXw0U0h0bg/m5wPzK/C8SaNKhfO+lrnQyJsHAscOJVmcUTEzVEi2r2ZyyjyREeWV0s8aYFSa6gO6yGM+ULkIv73uB+xlRckx+btsTSSguvWICIgY+3yGB/5AZaPxN7qsarOrDErAQTCRGTm/OBdWp6cDi2eiEax9lmpWlEmCrc2Vj94BKHryrn90y+ZQg942rZQiUajvbVDoEA9Dop+nzm7uvbmsC43b/bzbt9mIt6EwJCD94MR5r6KqVz+/v8M0dbyXwoJq/vG3v/0dYG+FquD9oWYoTIdXVPrZcpxogpItdJkBko5jpX5AaKxotm11ZA+xzj/NmKhA666AbkXdrDH9pGfsA7+9jd9pk/p0jUfmjUFfac6oBXUNBeRnUY9DB+7+Qts7HMhvjw6LiSQpf1Dw7i+d7I1ysBQ+32PGP9LtFxrq+Ipx+yHT+IfW0OsVdu5iCo8/1PSnfninvxC82/yK45SqIypFvVpvH4QATV/DvOLfsev/+0bH82gZeln36l1/q37prGzYAaR2FvPQ9F7d8b4B+TikBfbPMm2DvF9+PQeZaLHc5aL7F/PrjzuJ6xxqDzGZutZOLFeltCO2gPNWqcBPK/ko/P9v1i+XOKShe77h8OLexRekgVFtekfMlPTQriMZV//2CNx949Y+5sdzN9Y9/hBp8bXC2Vf5+LlCscoVJ3lt9Fow0ZztarH7kx8N5vJWZAfi63fve7Tnolj8zxB+vML0Nw+V92x7jI6pcPgIHanvD8Rjwkz9VQ19+r0dbYyyl2okrZX/KY8KrQYVukyukVfJG3G9MP3+VwI3r9ZEJVdHJpA+TuEaKoaZpwAQhSaLA8FIoVjJIscxoAVB91ModSNTeIeU7O29mxQM/sJNl2RlWOtOzAIfoKkSvd7bBz0f5DFMhdyPBRL+q42WfPf+UBrmO02w98SZvmcM5BxMgD11oqF+ETpLv3NNGiumD0Repphe18Zk+O+B1U1DPgjyXbdO+9R4XYf8ZhOTx5B4NPJwCknnl0X8cS8eAw6bNtHyRHxhHGUArn/RgvxEPFgBbaz/qLKOEx+Q2pO7tz4wJq6JC8XoGtx5omAMLX790TywXyA3ppQB3L+a6K23jpBhzre3bx1b7amPQAyAd7piTUWJ1Mmzhv4bCinMax0cBLvmC4RkbbAi9nkh0X2D862SpHVahGZhLQ6Q/8tynYrL2BOMYVPgIN3o1UC+fy/MI0lIbp4iIzTzboMefxUE79OIPfGyFeZkXMFyaUysQ884yCr/L9AYrr1V0x95OfCdLa5Em7hSCd7QInidg0wpKAFsk0aCiB1vGbANNtb2O1/W3ot5iigDtfEa9qu6Qf3yKVHk66B1TQIn2i+ggyotA73ZdZebwe+cpBL0bgabhmeH2JxG3hnhKfbU4OLdxBP7k69/aJUq5pZW7V6fnVrDQ5+WijA+mVXtGoZXbfRPqKydHszOjwAvNDTOoopQqc+iCBMZcgJE/9ySGiIQWP1frB6mowZ1nsOk/tmQR0yli8hQcK0VTEtFPej4uFoZIKhGocMlAvRVRqH7DtAcNwHV1wQZutCD54iVuEqYZ+jACjGe61jSh15I6wHBIFtL07CyfWHUPfvK8SChyqRSXIdTE9F1qeO/Lbd2INwnPNMVzI0B/uIZAKkdmus6y5Ol8vSxB4Dgwx0SkG7CMQDvOVDbkUFOC20vm9qezjV2wS/RQdBOGZDjwMMZ+19uHJT3uPYdLJ/4e9N11yHEnSBF/FJ2ZkpluYEcR9ZNfULgje931VlbjgMBAgcREHSbAkRfY19vX2SVYNAE+nh3tkekR19kT+iHQaADvU1D5VNVVTIxCsB1Ca1yv7UKyXkRga/g5U4p4w3ak7s9GP25yzp7l+dySOOqVUl4jqTRdtK0RZ5jyzLYuyhtpRAAr1aDEsgyU8ksxmdb+b1pvkdAHAUgvicq+qTDiBVmfbebjZDzptsrFVTXKkDqgGG8uNojqVQGBMZwI6FHqr+uC477Fc5PJNJ6hKGJLnZcGKtY6CJVfZmPawLqDSKNraWlIGTAVdrLPndk2zFMvMcUlKG3NRn1d9aWA1xuVVsxySi0YJILrAxva2v1ntRwOhUq0opo4Vla0949n9WFpVKIb1G54xTJZhadyrdmVZMkuRpBQ2s1JlAKJB1QhH4sTSamM0VoN+odDC+57Wei934uHSakrN2cEplUrb8lFTWiTh7SNSajBEtcg4lOlwe2Flrwfr/bxnVt3InNZri27HUKtL5zhctBpDkIlDxaYWtU1vpAw6Ekzi1j34a3cx28lre4K3vTFWD8OlCqoJ8KAzB/OutOmL8L/toa9VFpNDu7DuX9tczsxRrKleZNa0bJHLXXOoEot9JZcfICcadaVSKu+saL2oT9qZnZI+G7Q71H7WgDqmwRLJZTDyysvZrqrI8WIq16Qi6B1Cm56N7UqqDz6Q40hckg7YO/6VDZS1G/EtZqDIs0V3qnO0MQ2Ly7a571Yqw0Nf1bQusyjHXNE6KozEyOtspM3uUSRBCu/borWoilZvuY4VfgYYKDrp3/NJi/IO8SaUaX3vbedVpdCtzsQ2owSFWkcpF01lgywEQlQ+eCWh/UD4b/YWEdFDTzCjCUqLUlsQbDqf76xBzpaXoKAfFnJ5cNKxq/ApQdS1KqW39/puuo24KFZ7Sb4v4EiJM0zCWFkKZVONCWmmpDqsu/DI1qZVkksray+Ngg2jyFPdJZHZklhQWUsVTsU+gvLeXjVGgX7Yj4KQ2xJLkEelCpU/c7JnzI99RvL9ZjsZHdCwtPPGUZ+dB4XJPh5zQZlor0byLBqwy81g1SgDFpX2os77m8V4Lqxbol1EQZPfsPJeDufUmCtMhg4zL04Ksx4SEjOhGF4qo/LO4Ll4sq/F5qI0L7V5ntGNlqjPNE3253uv0ma00o7Y7ORJuTPj+1yyjqZyM4yH2IcQ+n2hZtWNvrCbx935OibXk03IaTKhOoUKhyTP2VXNLmt1QQvoiAveZ2O/FSgbVSp3Dux0Is8ks7dbk8sDw4nIcY7RqlKvz9laabqP4/l2fGwF2oES/UJXaWoJ5Ry6bFHgq4tSjfSKO2FTKySjddNs0BrWDUBPYlfMSJ30Osjdr1aMsRX9sXsgt2K3SxvSQl6N2r7sJbOjcYy7IdU/CE5hURsK7rrR1bujuTVugxqwIFSZHmBGmNYlHGzHUJJe7kuFNT2ih5QSziSyAsJ43QiPpEuM+uu6SvbExJ7td1VqLjs81zz6ibHjGzo9pZhJ0Ernpzjlh259HZCcovao8iAkDgvG25O9ttydh/ukyBODWHWGfH1JoDKjWUc0CdxNvXX06117p4icYGhgi3U30nE2H1UpGWTVSm6OeMwvY+AlQW6AcPE2i2M1Pjj77bLqDNF+Eu3qDs51114mrS7vFpqzSFOlaXFGbNgD2glOudCerw7KkVVUV4wTzzTIrcfx0OfptKmxSVhqVpMiexy49G5LcmjRq/UHcaXAOBuJm1reoF9BbXdndiUQTHxFqg1lQztWOKZYjcY7kEdbS3ZWi32zEdeZeqY7j4M1G9V0dl3Sd/2xytAxO1o0Bp2SIQVFoSdzUT+1c9YLIjJroK9Lk/2+Upd7ktnXaVkKh0dvFJWrG2CnydGclKVeqmfbc3kSdA+LtRhxvSDqrpPuZL3ouHJrxUjrUmbXjizQt+TtZB1s6vJQKK+nK5MZSxLeO9oyi7iyJSWOMb2NIQ0E1ZtJwA3QtVZcCdhGLG3tBgfGMDxlQOyhyl7CtmYrrrXNVjToxQ2lWd9X+jWuuupo2I83CsxWYdRetfxRLx5o8LTXncl1s4NlDSCAacE/k3Jg1Ta0NCTHbUCEvVUvl6WB2gTJN7OkiRpqkjvK9xzpWj3fc6wq81nFmAzXazAfD2svtw9923c8e24UGuLei2ZqMpmJtU7pZJ9s5nKJMqVBnDQofTMbnG1KGMd+lajmwFqGwCfVfaub4rtSmC5qnFnB+B6O1cFaX4Jx9xq+8/Z6pliHO3sV2m7xYVCqes1lSE3nribOeHHTq0vEXq9X9Gi/r0dWL1gX2t3AKoOtjMWRzYRkv67t20cppNjV7CyHzjLJRwMerWqt2aEd8WXQPqfBQpirk8Da9hn14LWF6lbnmu3hVGr31nXJfymOHEC/Ea/V1lSNBN2kc9qfjNmOqyW9pSb1bDIoVAeV/lm+zmuL/niC9nWNpLrd3VCtoOPlb2N+pMpqvOkebb07q6szQ9r3RXVkRH3nGBS0gRxq5d6kviCUBdPsxBWmQnLR1KG7i/G+Lq3DStPvNbvkgGgeDrtGu1Q+rLilPyQSPH/G0pvvFCKo7JQdR1odocU11kMitRGLy1DvK/sDfkbk+6J2qES12SEckjFOoWht2qVifVFI9yqi9TCGRWQTEojDlcuTxXxva7JbV1e2Kq3p1cKX9wZL9dO9rgAQ0q/tm7pUbq8WzYJosBlNqm3msGjO9g2RqbUGYb2gA3PD/Leobo0bhvJ8ICVMTTZ288IE+GEehsxyEvrOju2248mG9Ndt3twJluqOj3oyjeMCAyb/qkDzLlfoo71J45togmGf4T3dmNGiQw40K9UP+qhnBzNhXBKrqqMnM61I9AixurdnblPhyqsqAey3inn64LcroLT62PnKLgFExt3IjVb0cSn2OH/eEdYa2Ji+2y4Wy3MuMczeajVknD2WZW2t6WpOi+SKSX9cmKFGwBpjbmyxqJ6M2K4a0OOq0rbGh1A2/bpIKg28dycNW/NBSypjG08qWH5jPbcJim5z/ixOtJps1nvd7qRByiiJkl5fjMmDPSzZu6Eg1sPoKLTbYtWdjSV2VfPHXbNRKBCCXa/rfcJi2muQ3Yyk4+kqxyiZrMfXdffMTi/U/bBd4pyQrlJCYjfj5VJdjgguYe3BzBHwbZrjdcw7HTt2ATLHSFWWenXcAV1p2+KS0soGvSkKQ37Obh2j7QOY0KPu2PVGR2uiyMF6Pe6bW7LR3AmuV/BDYUeK1dmMGvVQQWCrU6rpHAvFMb/YOgs+trmFNp5UaIzj7V1UIWgwneIEbaeBFslDrbrVegunxgryrnpsG9GB0OsDvq2tB/1OPCWFLrLXveaRlSmuOBIdx+ibUbHjbtUGPx4ttXYis2BFU7JcMmfcqJ2ItcmY16Itibimh2ZN9SDKaEdQqxWBHIIt7NuzWUc1hnHdHRV2hEWO2Srfh1UezwJqaBylADEr34jXfnMe71u8T/XtKJ7vKokpaJEynUrA4ttJDNqFuAKQM3YdIpluk62h2tEkmC+75eTQisljaR7AOgx2g4q4KEn2Shrx64XV7c3Hqrbb2grflAabujGrrOj+kZjxJGJmXqPcLEvtY6FXErvb48KdV5kVyAW/tdl3wEJpFY6SMSH2FeBtqzQOSovShGZntWONmEx9DexcUE48qTcp7ZOaZDaMMSl6S68igNAsJSpf0YNBsjgUUQ3bWOOpPlM8yzFkf7pv1trdspPaGr1D25l2OnXMYybJbgOGUwTH2dk7v5/Zo7W9sRqOB47QaPTqSK/NbBPMbp9sVOttu5H3tWeW3anQqGCfnmmL28DjlgK1je2i3yF6o5LZbO2N/XI8qGE9oaxDZzams2v5Uwmqidob0IkBQ7rmeA3VNOSKgSxbjLdea1mklK1bbFagmrI1EzqoXwdli4gro26j32Fm6m4qEb04KCxW1fXeGsiHTX80Y4MktaVrNaQMkDqOpE59EdZrh96u7dQkYVim7GRQgW51nbBvy4N6YV+YNGVNaB/A+qUOPVhXVLNkkACyYA8bytxNmHH50AqLzFBq900wtAclsbGtsTXQXDBG+tQC7Na6k3CDsgRKitqx3SG3c5xKOfdd1TvrVodlwNCr1KpzszFt9OwFedgPLr6IRXu6QmqFEyKrJKncrZy1GDCR0jmxB/N1v8gfykW3PS+ylj86zGWmWiLL3f2qUkmG3qa6CKu1NtjUMeVXzzdkBgT2qfK0MCEqeSzSHOvqVTqqodNtmy0Rx9wgsVjtnm6crmIbaqiDlrs93fa5GyHJrO+Mw3iQ32421JoLuTJHxPIj2uvUVs0Au4t2RYCGrSosCYFeJiy1ESJyFkZtscuj5TJwNAH0y2FBMZ16f9dctkdqIsjTbaHnkvOaMgeb3uyMy5GpdZxCbQoAv0+oqpnFQ/Vrg06ja3WOWkchkk1vua+Bsojv9F0syiVNVkRjFdbptq33u3TD8Ve9WccLShE1EA4HZhwV6/HA5uaNADXNTsiMpCILFowedPhN0/R1qsgYFa/rHQa1OqqP4qrdXa6PfGNLJy1Q4MvWfnIUCXouWA7ZaohzX5sfYdG6pYUz2mA7T3A3i+XSWqgSwECsDXm3u6y0/SKtdrweOT3sxzOGVOXl8BBLx0Bkg66OmlRkOT2zuN9bjZFxqHQOFXNOo9meC8zJER3juV+sUA5HrOX9Iewfhg1UbRiaCyOIgsUC1vlEtwajdbA0yg0DjYOjWhkvtcJsRHmCnlQLTE01wsJuMjdocrWnNNHtLTdVdSBu+jBnPq+sN0lHme2b2zYfMszGdjpLRZtMpu6mUFv02jWiBVwwqpsLalIgyMOys+9VqX1P1fxkHfBFUm7i404RTNVmuq+We5v6otZZSouIUUdCKfB4u5c0DvXdkHWpJjszkeNZRH8krBajgdCTNu4qSQxhQKwl8ditSUkfy5GCOsDXuRPFRtMqVnjH3Kz3WrwUotJRQx3TQ3X5UKkx7aGmjcLFoM8PFqC6d6n6uEWXY74adMeq19ocmVlNtErN7m4rzCkeWWZRG43WY7/dGzjGamOL06ZFTUJ6N98vm8eJ6pfb5mJB1enaQDl67jAI1/am1jAZpj0ZkZ7bHBXcaL1HJT9sOkUpKBDJuq0VeHF51Pz92mF7nRiZ8X5d6e8KvUQrzvbFycHrrI6SF/K1waFTK3T0Gj/rAL6z4ZFRKoeknsgb1huXQsIUVWcLaokJGiQ1YtuT0ipbhyb2aQwK0YHa7LIYjBUDOlizJ3ZA9A2yddhY1sCO6Qea7rf3eThHpSPJ4924Oh1U8ljE2nAlNcscXVdGQnbZX9ksw3c8cZhOStIHtacy3HSME6f19qPJsDSt/uD2f/d47V1jUZ8urEZ/zjUMd8r3l/MlW9mxYnHcmhYKoLQMijW92CS0g1qI0JFjJJZ1dL4dkqAo1Rc+Me0rRbA15tpOIR02SkhnapPFTtg8sNRx7qChvB/CWCiwUEZDYoDqPteySLLj25U+GReTWpNsrvXarlM3/KKx03ZTokEZ/k6IWlW/B3rX4hgvRyOO7Qa8xW/0kZ3MyL5cLKJikZwqZAH7luZ67CtkgFpbRi0WmyR3qHbHDN7/puhClBQXG9Y/uHE1aCzLTqt6VPzd1lzQe1ZeJw1z0thIlS1XsRaR0JyWmnvfrYHNxITidFKPJ9TmMHOLx5gLJlJj6Mr9kdmMtwo/pWwVcezEptujQm+xcBSCO3ZJ90AVnfGhFI533sIVF4rUqNVkr6tVlE3IdI1NvSBs683pfjOvhqP+thXb+pZqHhvKSDV7xiDcGH2xYI83vVmDow57RSw7DYWkQnnUXs9psI+4jbtwK7NaSzlUemKv3mwmorHpq5YH1RV2ZhRTfdfwRoHtwhSph968KvRr4rbLM+sKpVRAlZfAHjJMfrgqMxWusl6qbs8NOV/2hAh0yL580Mf0JNp0S9OpIesoVF2ADUpvGm1FSYrmILJ3q7K0FLAvwEBMgasnw8FYaw7t3ZTb6DvUroPShsacX1a22M7V1Tm5sFUhck0yWtcrxmB/bFMbvSxV4lWjPMZ+DUIky+yCsScVV17azf5uU2jJBKg/SSC0WypRcOf70m5W9ruCGgRde4Zth666RUHb7XC7MilH7t6dBzWe96ZheX9oJ2TROg7V3XDBh0eVY1CQDCcDDccQu0rB4larbL2tCXsAurGzw+ZNFvtcl5EEuLTzYq+Rx2iLzQn0lg2OYiPOb93eu6BT6wHX3spStt76oynWaxWhOGqvspiyP097U6nVqxWLRXpXLLr4H508qud6Vw15XOrzzOFYbBX3/UYjPASBJjfMh4fZnsIosRH8sbf0yPz1iWFo//AfTyayVmb06xPFwZL8j/9MZ95enE1568ybpnmBjk+C5BmG8wMh2dmI9xwE+fKV4y5vH3b7/c1HpuJmpz0edOT+OM1370iYH1p5ozPMD+nMOjstc9WXDz22dj3Nf+5ja6vl8vji2Fpa+PjYGst992NrBqlQDEfyzM2xtZtS9mEp97D0kpD4ruKbY2MdpIRxgC5nzO7auz3jdj6x9fj1u8zEtcCL/VdevctNLNtKGKZsnc3m3Sm29Piacp2pGx9cU9JjXzryLQ2nGVazY54hrBJ8wym8GuJExudVlJ5b+1dC9Mt5eAOiT5OT3cT8xjhvyPPlK/P5JghdpvkpbTk9SPsBrb/vqHHGNR/a8PuOEd/x4O/uwUci7s0w/tSI6zDM+AXiZoWPEZdjfgDi0jRN6Tpxh7hXpezDUu5h6TXi3lT8er72u7a+liv+rgM3r5aU4PF777g42v9rSQmBn73sOC3AoRbDOoCf+QFbIGfoub+kh+FDrFwAz6dn6c+n51V8vPbmeukwP1d8k03+PwEA30/LGwA8/qYhK1c5Er58ZYrfRKJXmsVg9GrT1wksXmn8ffj7exrHR6u/1vL7APh3tPxdofdqAH9u6K14B/kF9KaFj6GXJ74j9P7jtx+CAIZihzcQ8DXegMHGNq4KJpvgGQzvfj6pny6cQ76TdRiNB5sPkYJyxzpKBCoG9a0sg9Dn9EN4Hvu2p+BmxtD2j+Gi3179ZhSrjpVKCvjKdkKQKYa1Sge1ifZzNFoPSP6uwtsB4wag+jAECeNk4ih/Ts0V2sIE0TwfXSpOWXctR81VenEMFmKH81d6fyCtjszpq2cldKLso22VjBc4jAOTMETBVYUW36pLvsLE/fzZpdShAyrGvAX0c59dxcGT0fRCE8oMxbHs5FQ4s2zbUhw8Q8hRLEycNby3z4sBRv5vzXM0JYy+uCiCt3CyGsfHPPU3UBnCKNZh9JcOW016zLUGzECEdwO0jS0AvecNSs5sfS70A0+LvCB/gMl5uijqfsFb46W3e7zgQcP8P3vBM48XPP3OBU9RGtIJklD/Kyx4IJOnKScO8pUVsvRDSrQwY6e7EaRPYdK2j5hte3qKZ/xUDzBy/m7K6O2I3rY+X3/4GThQ5Bgsf0USg/GL1z+9AzZeAYCvr7bwAmovWvwKxn0Vp74dcl5Btt9w/3zfC6LT7GrRQYojE88UpgZ0OyUVrOp1smdNQTEPob3f74zEJYhkpVmaZ63dlN1RkA/0zEvA0P3A21k67hKs4ZwdJ1fFv2HoUfTktBgUaByIiW1mzHJZYTamM/rcjuyCPoIgChwt8jTP3qEPzD0gE8dRzAV9YD1Ez7YSu3gZXb1DcjAxaTGgQ4yZgSQzFrZzqMDWexzkP8IosPwUOMDKiTwH9zSHL8AYJ3xWNA35aQ8JLJu0vNLTODYCF8/fjfPfJDq+wl7wCBM1I6jUbpaGqrTkSth0tnCXI2jnbPQECPM3YGJm+GSbcBkMXzjxGRRtbAffsOM/XoWLSZhN/rPnn5/dvpoixzWn387/id8fzb9IvzL/zLX0gXkBdlUt28JC5J+f8AJ5jrzn0EcI80QmAGEEOFXf7rYJhiDTB1m/r4Djn5/U2LJxP8P0BjM8sy7+4/m++oy4+UNfgZFemrRcYKs4k8MvasSAGlmPH+C1hB59dG7JAL43NSXQw6wLqfGu2MDD8Nnf/vkpZ6MRtI1MD/cKf6qnEgzKzSjyw1+LRcW3vuSfoR0Wrfj9L8CsxZvS4o68KwDLDCQ5htsbJoP6Mn3kkxAmnq5+TpqRUf5siCWVo4XJ0J84uCO7TIr/7ZN0pnkFl8GzS0kDdKFTaQ2L9dOPDtIt5fRjaqH96e9RBnXZz3/89g88AzsQ+5ab8p2DItPDxAShg4mop3PwTfjhBSvFtY65GPzUSSp6DBjnBU8jLP5h5rxUYP7tJE7w2omsKMWcMi0I0lM1dnUFjw+YBFu0Ix/PNohqlGc2K2MTt5+Zs6dt73dIkpeYChCA9yS9/UUJegUDrnt7IwBSdPgKAGU1PIOqEd1V8xXAkLPKrkX1lQ3grjzTbN7hxJR0/NX2AU4wBE0IV+IAyAbaZLa7lc1aSjoM82Q+2bEPL6NTDQJJigRL/3aZpna6r/VEPg1i65juHWQd8wTSqAjXHauQsSLULJG/65hIiyzL0SwjfKVj1LljxBdWoOmXvRNhcDRJ0yz3snfUi97FFaPiX/euakw6jCQxyX3vGJEjeZGk+XeRjfgichT7qHcix3ECTT7oHXPfO78yM1DtpnersL1rzZqdl73jOUZkWOorvSPOvcs0lJu+ncT2bZfY+y4FpqpxzHWXaou9os0XlXt9BCaToDmBF9/HZ8QXnhUeMBtUQwK/EYxw1btRpujDfPYDDKUauu9nrrxe9fNaL73pZwpdIrTyQaQ7dY5+0bnf3pb5qXDLK8yuLA5TyXSx0K6sqSuDDKemfNKwz+V///1TpISbz1jM4YiKhw8+m6mshOdjKIJVyxbZp6zqLPgi//cP1Up9l1rp71Ir811qZb9Lrdx3qZV/pdZ0Dxpz33m5gGbOsCKH1X8luhjPZy9IvuawPZvbXThxaH2IfX9KEGHJ9WQq4RN8EHq2hReR/qTYdnaFbaDskP2EDj5yQ4S3qL0gDcGIvCfPRU97L9ikYj9LRwq1nm75zva3bWuDnkIwRZ5MZPtP6UrHESBKXlWWqtjPTDBcr+EFTroGnxTVi6OnHmieKr4pHEybMHsbr3aEg0UOT6CzpFEiupKEX/AAgXTZCs3GjAeda5Fd/L8zCeQUcqAb2d2+RuA56XjRAbQA3MFTQuVAcVfoqUT92qOok8f975/GGVkqGVnCv3+6JkTXS1Em7Wvg7WHh/VuandYKwqwgdwH8e0721LeBZx/aTUcRxJn+dR7F1TDGaX/x5Cqgmecd+3TjATjxwad0B8QB0QETAj+H10OxwtT3gDkg9fNmhMCtX+8rnepte2EGu9nPihK4mAFxY6a3fzYCBNr8+bvMdPjHTae+Xs9vv5zGWroMVVZsLbZTdszdhS+nT7u8kxNSibKJBCU0n67zyO7pWrqiaxlM3uRJ2qEAiIWpozxlpK5nE3NFYup1Eo/Pt0XrHsoonE8VMM1NE8Ay166tfPq/kf7U1+h/IWnpnn0sV7NjvN5onv7CEDx77Qj4+uhS7AlSQNDy+68NC2id1kTe3Jj9y5MKC1hLxeo3Dox838Dk1wdGMV8ogeVJJvv3AwaIaxR/8ADLX5k58QtPfcS84Xp+yLBuAUFHsCywCffpL7H917/Y1l8rLs5yn92xni4KPPIH62ZvgQkcZ8t8G+cqG8gdAOAvT7ii8aUK6A0WQ2eYSD9S8lWueWnm7KsAgQhqs1NZkz3Epiwud2MHC6EUuJOrVvS0a8oFNa7wSE2eQGBbWcDjue48zuauwjeB9sITVzw/wgK0klnbV7JtlMnVExJBi3//dHoLyIdvCQg1wEfcsdST8Qgb5StsBJHRB5GB60X6+2QNJs5OseMsoPYsRHE1p9CjMK3uKfeQ28nHip6DY6cDsTekE336XaLoevGlczf09hcqS7qOZcTpwSmmVfWiCHSJa9GTctEtB2a8EPpY98Ksl6kT+SJ0QGKYuIaT7gPlGgKFrEfRj6aqLN11NEy1DODGnRVa2Y7bWXZ9eWPS7qQXpvGlx2nF3yiivnx1pi7ELj0exAnvRpMOJkn66JvGc6nrdKvJ3RDzJnLgSZkxY93sg7zBjxvyWzBYRjY6AVUceZ9XyAV4wUvlJRRmfJRqrymH9Cka0BtpeAv3yYpOWp6DFBdWuxHb34I0lcuMALNbGGWhsZNWlgdR5XP1YGnkWJrLmRe4C5NpehGyw9fY/hGrV15h9ROXSNPKUKpVnnqnyt+PVn+UUU6DS9tNh/gv16WrHz2BWclp+gwbHxcJz+R6zwRW35hAvMx756p/3Ow9HNm/fAJrF2JVLRtrRxw2eflUabhMV/7sfA8QTFmK254LYHFlOO8RPlCRmc0h9l+k9aR3iDyaq5r0ovkRip7kK4H93tnJjOysjhyTQhR9L9n/fkpfOTbuTPqrwdEv68FknqIgc6WfQy66qVL36Sbw4qbBS039TP/KOhV42P33nO2IZNuctpfWQ5UoGodcnPceceBH1ljq8rg0lP3Fnv/isP8ijB1QizOPohJuzk6gLPRjhZ4RoAJUhGPi0q2TZ0xXN3tD83wL6c9YrmSBjR5Q5tmx3DjCjdNQgjc9LiUk+YU7R+/op7pxyAv89awiWGfo+Rwdw9+/+px6bHKapG3h6lXP2zzvLM8+bczmXiAs0p5D7EzSQ6g72iP44GZQJJE7bZ8f+eph6eOtrjwSpD8ms41mKD2eS/OKBBzKso2Rq6FsAgAOsWIfK/aprb/9A+8W98fU67Vw76+F/pBamNdrIan3V8N+pRrivdXcL65Xq6Ruif2pDxRNn8GU9enL3w3q6kfr+kfv5gd9/f3lyeOu4tbSZrJasi+ySrJGsnb/cQ4HeH4t8uV27QCi+oBzOBrsObIcdNm5JUWKEK8Dc55fRgNhkMpifl7znJ4I9uxk0VsnVEin5AQMVz+4PDgxXWSRt0IgOYLcwZkhy+mrz/kHny9A8+qKwrXhHcx0vFnVV2MlGV4g8FhNpASRipQUd7LwAgX3Pa2Sh5dolVY/syxiPzO8SHxWFEP/zCD43tAUxOl4Fs7AkEsniqC4JyyAwi8HOzx8yj1C56bOBKd4gaIZTNGvTt+5/qxTHCfSgsh+Vgyk4K5on0WDYD+LokHyvKbqFMIM8sYcfW2Kr1o8i1FcgtHwtze/xWEMjgMCBTjOsJXVedXd+dXOjoLcNfBsKiEO2+NEBmmqShKagUiFZglGEw1KNxhCZQ1CIThSJ3VKEFWCF3kCCRo80Xla4DmWJHRayyIGbOjsh9WIZ+gi2P+Zy79zFFCmNpx+nuR09ivTibK/oU+b8Bw+ChTBnRNo2iB4koYuIlXRNZ00OIJjdQamkVRYlVJJEYoUWiN4nmC5T1gf01Ixn0WjKOm+Bdao3c94RVzYi4ahEjSoB2lQFw7Tulvv+XPgPbAW7p8xDM/9koVVPmcxN2lk1z9/Hztma/kc1fBSP/jljBM4PiJr9netxozlzzGuWZwEfJ65bbEmpfhWhj9ZXOI/H8Y8PvIC0/exuxmlyDSo9xw9dVaObiM0fzpqfzpqfzpqfzpqfzpqfzpqfzpqfzpqfzpqfzpqfzpqfzpqfzpqfzpqfzpqfzpqfzpqfzpqfzpqfzpqfzpqfzpqfzpqfzpqfzpqfzpqfzpqv91Re3K6bRnzFacb9dPp9ud1uj10ZHEcw3y7I+vkcsLuFGgSLOXEi7EWnPuVMgdUrgw95RZ37l+6cnJh7T988sCOw8aPCcrl58yk8VFgefqXp9zr0Ld2XpRux4a4kUw3Syu69OV/hU+npFLhlyfJwIrv2fmFX72q5Je0uzgjyqku5QlnLkFpDoRT7rzPWZamq2q/7u+Ssa6Xa/9q8mQjdxWZr5LOSv1/GsJ66hVlbrcpn5Dj216CUPi/cpp9eaqja08f9mfgZvPtr8vnWT9S2qb5MQGeMxJnVmOW3QHbLNChJGsM3ktyX99bTjFQ39I9uLai3tr8b2yKX74B4wTBIE62I67wMkMnk+UUIPIddvqv/V648TTRxTTdQH3/cLL3/+VDudqhHqIV3mbIOwbLU+5NuuPvMqJseVvHbOc9s3S+x+jKtxOV9QEjT24XZ31+v7vwbjQv/IbX+xV5vNLH+QivNsr3Eav7tyb9y73Js9/1qse56+TvmBzXjvCnODyBXborcX4P8/aNxxzX3LcVLXuYhJlvNMoWaHj1+Ape7t/MOOVbtjdvPM3BU5CmnTlt3D1GySukA+DfuPne+GnbSDtXk22KIUUzz56AK7B7yxcNduRHwxn1YzGgVLodzUfC2Y8einw7lAuWjSad7zKYWySDX9/btYy78QE4Rv2XwTHqj+NYB6/0V4Hs7ynkDDOs+CMgdh0BkW5h5zstwDiVXFn7VjQ7+cCvA7+u8OykAz7pcXB2bb9Ulh9AnHwDcfRHQxz9Y3FBLt2O5iMh7kcPRb4dyhXEpeDz8YP5IRAnl2+H9QEQR/+XgTj6j0PcCWC+gnIpJv0RfLuOwbjZQ8Z8c4YiNck0q3dCXYjQg+DWRxinBt4GuU/YHD618VYERn/MfDSyMT8WDsql29FkwZffPKCbz/7lY5Jvx/SRaP2jh1K+HcrHKqSPBnOL1lkrHz+syu2w3kbrNwZ4N5YPR+u3Yh0/Eq2Z34fWT98I13dKa7aCw9tq/jCk38wz+5RFFnwjcl+CbB6h9t70cmwHjoWZLiMNOe+IKAo+FrbZH4sLFfkRYV8OiHgrZC7/8LsNh3hnSGCl/LEDyuNRXxnRKSz1+w7pjvl/vxj6l3Nb9XYkH2szPBrMD7EZKrXbYX2AFGL/y0gh9sdIoXoauflCxHxFUGULPBdUcn5uNJMUedAZyI488iiLirsXINci4v0xYxcyXRuRvzNc7HII52wPPggXe+jWz9ymd259RSVZQmcoQtdZVWBJVhdZTtdVAtE8SbKcxtKsyOsUQgKpGLqg6KpGsJRAULoCVMYnee/c+n+4xiu3/pr0ZeGxW5994RmmGJKiCf5Vz3B2NyFDqQbHsDrHZXfV/eOKVDTLi5TACPhmSOoFqViCFxQWKQqvk4JAcYzGCiQiBErDeakRIzIKa7CGrlOGqJA8xyMG3+jLaCTBqlD8klQavERwrIBEhuBVXhc5JHAqoymGwRi0onIiNKTqjM6ztAGVa4JuqCyp6Ywq6EDTG1LJy1X7G0gl8Bz5FqlEgVEN2mCU7Ia9R6SieZZ6SSpNZQzeoCiVUkhG5WmO0AiV4gxCJymRA5YwYK4ITqHwNQEcS4miqAJROYITGYEkhZekEmiOF3iaoFSdIiiKoxHHII5FOqvorEbRLCPqmsBwBK0aIhCIo1hC5VVNpXUGabR4Q6p+S1q8n1Q0RQjCm6QSRZ5lEPDDq1zFMST/Mq6GBvbhRJ1kKVIRNJ2AcXCkbtAUY2gaDE6HcQMrKQxiaZ7WCVYRkQqPkCLSGqWJL0nFEzonIB7WPAGrUCCBAxWGVEWBFkidJimYGZamEMkYlGHgbAQEz9MqvE0YgsYLxg2poN3N+0nFsBxFvEkqHYan8ST1OqlEkmKIlwuQJRlGJw1BJxCHSJEGKiHe4DmkCTxwKU8qJGFwGhI0xPI8QXEkgRheVWCZsgZDPeIqVqMVoA+tKbqISJoUDVpQCeAxDnrI6LRIi5xGUjqiFV6jdFjnJMULiOMBiin2hlQbXzi8n1QcSwuvR7GcSGWwGoyQ0l4llQiIxwkvSSXSHKcjgwPc50mdJwwgjWggVldEXmQpTRURJ4oaDyxGcoaqGAInUEAsnYV5EfiXpAL+o0gOOEhRVAK4E8HfPKMorEaqPKxjxAM+0iRBshosdhZIT6gMa8A88Thl/y1X7Ze69H5SAUpyb8G6iAQF+JpghddJBYKHfikBVZh5ATCYBkwhWINGBstojMLA/FCCQQLpDI0QaFVhOSCMzgJ7UPj2Sg6oC/hMvySVCPoVbxAMyaowhSxMIaxUzuBFkiWRSukaT2CJwZGAesBICiXQOvScgzUJElLjr0m1EVp8992kYkHA0m8tQBGJgsBoSH2Vq1gCBCn3YAFSLGIIhRcYQzEYRlQMEhBXU3Vepxkd4UO0PMAUYIAmGqKoECzDA1hxGk3jEvUBVgkq4nmR1+B7XuOA00mYSNJQoADWnwi1cwYCuWiIpM4wBBI1pJG6poHIIAXqhqs2LUZVHpOKeEQqzBFvkkpRYAINHWXXvD4iFSM8IhUjaqAYELRoGFAPh2BAlEGD3sOQSDcUHeS7QNKiChisIBi8AfqPoDAi5kZSeKRXCVAqiIbGIJ4EfQGoKhgwjyrLKUB/joDBATdS+JpREegGjCUIGqhfrIJg6Yt6mkrmXUxE4Tthvokyj5noMWXAMNeRKhAkICohKopCY6RGDKA5Qmoq2kADQBqwJwh7HVYFhXVXwGgkKoyAHmicIgHsYbAcy7I8iEyokQQiKAYFDCQyGkcCl3GwxkQdCjlBg14D2YFsMEeAiDdMNPVZ9/3rjYGevc1EhgLYgnXBV0klgER+ieKAzKSmgf5IsSKnkjxMDCjNPA3aK8wowVO8KBgwGI7G8gTkOakaBCeAeiiKsH4eoDjPCroOKoEmcrBADY6jBU0E1GZoDVYXxxkKwDioUaJmMKwGTIo0iqGwFgvwBHB3Q6rVcnl8P6lA4IlvovjNtewPSUWCwBNfojgokQQCUcnAWAQRTA1KYVWRBAziaBGAAsglaByhIgKUf4NCBnAMxQJrKAIo1/QDrkIGCS/RikFoDIchmwcRJxCIBwYDK8YAAUeDnqEgXTB0UVNUGmd0ojVQbjBv09ekyu9ofy80wbqh3lLO76+/fkQqsGKYl8o5TDqpsAIPy0AgNKz0GBiiQT/nOJFiANxZnVIEHSvvQDpSY2CBsiDReEMwYEU90A1AeYSVBhYdwesaCYo/wyFACAF0AREIxqk8cCYoUGAFkIgC0wUMBF7nKTACVUO9ieTO71R+RCryZyT3O6KjRZF9fZm9GR29V8Iny8F3geOEBziJwtMenwrEwcemskOnaGn9KfSeDCXIXknP7bqKnYRWeI5lu/Wbfnkae1l6n9sY6HS3Pg29Vi6nT19GX+PNkasQaO20B3UJgU6vKn8r3pl+SjeFnu6OGmUfX4gie/nFgziY0I7DCAWX3DHpu5edLDlt92bTK/LgXcdXgutz/JdtpOtochgFvvwXvZnSJ23maZz46VanfN6zfecOY9bpKP/8B8YpZ/1Ot7Cz1EIPe/9GTEXW+3yu8x36P7QV/76cONeBUzn98Z7eHxhCdPr++/T8ais32gs74a2t3BGy8ZZyunzx7Z5+YOFllW7VZkcxnyxYH8H5QEI6inSTtZqm4LoUXoAgG2PuA7yOxMgXnZzxfAJL5t++kqXl309JmiLP//KXIjR5ztqScUOWtOWyYQttAB7dh9ReVthpyR4+KwcrvFRZ9tLZOFWkPNlohVz98kK2n5x3BZ4a6dS5+ZmFc4fO5xZCH2lp1sA8pUn+1lV8TFpz0bP/+g0e0es1lYKLhW/l+3DgQgfFsdzTCfgbyPqG4OQ/E1qVvhmt3tX7W7T6N5n+tUX/+x9DrW+PRX7feN70jT4eEfNri/mDI3qvS/Q6EPm7jon9tcX+qDFVvkG6vG/B/GHp8k4Oq973HPs+M9j81j6/SL2hXCr6Dh7Of71YvAJvnKooBdVOdrwN/85lJEbe3yUgy7kYeyn3TPh19NLzK6kAPOcny+h9L1DxJznYf2dJ+A1C8Ara2lhKya+LPxs/vxN5l2++pq/niV1+uQQRheccb7cpYHAJSV5nTzGV7D0TqkD4+OJF938r2v3PJDPlHyIzy/SvZfLHCE35m4Xm7xlQlf61+qMG9EJi/ufG6EvH/2xi8QdJl6evmj+Zco4x74JVYZROHlT+wvbJq8ooc4Pdeb1qlsAY41oqweo5nmXpuN6STKcGcCapc30npjn15TYJYj5VGEMtHbkRFhthtveEH2cjCxDemYKn1+FCHyiOvimuJ7Ofrpnxd8b0cC9iesj3xvRkm313G7yIEgREKxpDqQqv8AIrMIpGiIJB6RqjcjphqIZIM6SCGFFjdV1nKZUiaJWk9NS3/mAv/I/W+Fua5n8HK0FRLduK0mxTp8STp1ROGcXirECzvTD7S0d6rOV5nf6GE3cpYQhTpuc/Y9f2tE3+I08W9WzhLLEuis6ZoNJUMzh3yhlvPmmKbflZSpvTbQG/5rvOz6db37Pt0zC7duHqegFViTR8kOQMPrAOcYQXRkSc0AbKHf+S1UbgSRzP4MbOcxjBAsfMckrZEv2BmtPrCBj+Zc2nXeE/UC37oNpXbzt4Vzvw9bOlH9JJfdAmDh8hX7Z5m+HlQxqCf7hXG8pjzv54QzgejcdevdcayiK2PqQhQSQfTNdtvNNHNERT9CNGvo0W+oiGGI7ArqvXGspibT6iIY7lGPb1hrJIlY9oiOdJ4nVmyOM8PqAhHMCDHaSvNZRFSXxbQ+TDhiiGEsTXG8o86R8xIoYmidfZO/dDf0RDHMtTrzND7sX9iIYEkvgK1uU+0A/BOpGnXzBDmpoOtFB8q0eY5Xy7vvAIhKKWegtzAXWl4lxKzhmGrq9Iujw+X5P0tTpyq/38O78y6ZMJGuCn305i7MYFnEU7h7niQOI4FUVfx2F6Q0lKhMtITr5PJx8n/v3AY0oTNE5tuQq8GAj3aYRSZeOJfhqjNMuH5VqRhdMQ3t0PxAhZYrrgrJ18+oufqtVn2mRZi8HyiLDu7ICefrKgTgmbnmDwn1OH5Ze/qMFT8a9/D/7uXv7qevDlr38p+umv9BlYEenfURrGjrWkJ9/zP8c+KOqu7u3DkxGBtULLjbEVAd2oHDSciQl3rwRq0O03addUnCEO71zooH/DLxMn9FXAZjKxXzh9L9uvuTRfOfiZsYGHiD3V8DN19ZhY505Tx2Pd24qgU2kS+acY+mRjP27wpMVB6AV5s/iWC92LYVY/h6l7WQkCaA/3133SA2WVmwxpJXkWdR2FODEo9E2PzEvX/lI8kQj/8P/6P1019P/jhob+Xxv4IpunXCPF+e+RjTMb4In49e7Vv8AUe+7qr5hsfynmP359mloIPgAOvtwLo8GwwrRfWmCpJ/MN1FVPs9Lc3Lj+L7j6lNkdK1M5L5n7wpSDsT4LllX6N07una+P1ASwrfAZnmGSPeObvCwNPceBfWJ2/DiEXmhIT7MA5qWRlV4K9nu+9aAHJk5YGMYOCp43KDk/yapKNe/fsFq+stxzpk7AED+1w9Psn+kCUcF62ZwVcoQv8cHpO0/q+HmJ4zUN9hmYPWlKRpCcAkcKDIhPHOiKn3gOLMbnvNrwXCWgW9r9sy2Q6fA4U26W0TZNv4ivNSO+4Cj0PAFk7GMT+Ub3JbnfsndT0yu1Dzw7zsaWfpQiXFopnpRLT/756fk55dHnZxyo0xDWum7ES2MuSjhC5+Y3nnk3y8WZJWy8fpiB4/Mpx+9/r6b/QXG2BC4PCIKWBQI/AMzDGObqLx7+djFaX6BbmO5GwOiZG/uSwHYFgVUJ8Qbr/3ar+N+p53dK9J2qe6eQ3qmNd8rdnQp2pyjdqTN3SsedanAnwO/E7D+ueOrMSoqN984j07G01FJVAivNwpfnRL2F/VSu/HYi5RVfYt7PZ3gVp3OMI7coSlMITaWVNHQSR6WfRE/GAVEcLAarjMMCbANn5Xp/IK2OOLmqAvXvUhv6xDPUXKGt8xcg7OERKXIEVhAcnBwPM8y5MmZIaccxLW38+8eXL9OMotD358wexjZ3JlT/9s+zGkIReKWm+agBMq4SqMISokQhTUl7spyvLGF8XuTK8r0Tw2Hi+Kbn4sGhpGmqNc3qWc3G5Nggu1ZT/AKFm8V8aDbWPt9wu6w6L3kqxbJzSiT1WnenzqaGXhOD5YzBH9po4nuLDfDYRPRHG3uKNpvD2LFbvRGbPpuNuyOtNozUcsmeUodgNPN3yrQ7UepVZUg2o2V12JpN7cnYLTWVue7Pxg22M+vGY+dgTsmqP6bs1mgj1rVahN8fTqfTmupMt5OZ3RkQ3mFxbM7QrDqH331l4rcm0ykzIqvhyLGHU0dIJjN2p8yWw7ZrVhYbj5pTG3oxaxwmtSmznA/DUXUaz8aleGpX+9111Z3ORE8t2xaMwepMfbc9qVhtuXlEM3Kv1MQYTcWdPh+uVYq05/Q0UeUG13BMQq+Xjj1L2C3mpX3bIdnlbEguqCqh0o14QYlRm77Qsk2Xdho9NDR6aqkz+6hR9k4F4kM7pDIbYLo2ezV/s6wtyY5tmh1qg/tAatQ0OT0fTA6tgd20BlOPGrieZQy+qLXmlusMSHkTWY1+ZR1Ue+J+0jabM7myZJ6ZCmUMJ2Lc2jAYz06McBZZEc6y8RW2MBf00Ncdm0Aze9NYe9ZobG6XtaGjj5uLxbjrN6y9BUMlNbdr3w5jOJhMqi5aD94zjENZbXLPFq+oZB8dUGTXJ+6CcKeDHkeuJp5pi2rXUsnl6rP0aBipxP1kRpEf/losKr7/xUnwDpcC6vkXeKN4+qIIei6gyVk5+PQIxfsBRgMNPQ1i6/gpveUyRGGYacP38JAlH87uwcQguK2S8WJIxnJqW8R42/XyNM0e3BowA/H05WtZi3GW5NeSJONnn15kgb4xHu53kvLsxTdS5oVkYvj0Gs6b+zkFmiVpjqAI6up+zleBPLcGsoSpL0Q31migasPSQIdIsn3IU1L6T2mS7k94r/J07yhxbU9l6hGIbxS4ig3Qmhpxn67NGUBFMCnO4ubSid9u/RK/5Xri1ebxp5ubA1LL8MqBkV0fcCXQsstoH4shpBMkoaan+/D9Adh3CA/T21ixWNqqee13mkku4PL+5V8h9Dn9EM+5b3sKbmYMbeNX/ADtLO8SjuqDnm+FJjormUqgmdbu6je+VUw5cwg2g/GiGeRs8+mXO4n8YJvwhoty5eQRF/H0/9lcxD7mIuqdXMSQhsbgQ4nUfyUuOu8BX3PRSad9xEXC98Sih+eWf3lQyj4s5R6W8ljxfVRxai/l4eKf+DTE/EFDN2+R1OPXuNvXKObxa/ztazSb7v1cCsAGHyIDBcjVXibGfjWz7C+XTNFZfEZ6sY0BDHK50Ob/ym3xH7BG89vDLzP8Cu2vXMdXSzj3fP+3p8ypmg6Ff3FrD3t9Vc/rE3cOkbtpouHme3ZfrhsxUJa2XHGfSOp3NMj9gQYp5nc0yP+BBmn2jQa/hqtXE/fSnnyEnDfdvkLO09ZgxivfiqAO+uxoPxouT56sG7jMbf6HcCl8d7i8yV1whsu7jAaPSrmHpRe4vKv4Brr+B/kLT3NfWPbMm3cN3r5N/UIy7Bfylbe5F29TDP+FJh6/fQei/4P7BWzwLwTxe7GUusXSNBBjn2dSuQ2Cu05obblPXW+XJkn5l2Pry4l6DyxcD84Kszi+4MtX5vNtwL6uEgfTnyiE6z/zwCtNvBs/7/pte/tXu/1uiHylzg9FwZue/blR8ORmv0HBfKvzEQri4+ffGwVv05L88qCUfVjKPSy9QsHbim+wp2O5rgW4ghS8wf/b40ZvvpACG7noqQoss3n8wR0YthF6qiuPX71DwnGgaMlTJ9aV+PdiIX2PhdZ1IsHHIb93xx//9Wj4YsLeBq7klbEB6Cu2fbno5ctXJvk9OGMFl/S6ODQ2BZpMJcu8j2+19G6U/MMtvRs7v6mlb0fU1w3ym+7+uQH1FE50A6i5s+gBoLLE99zLeZi86JcHpezDUu5h6RWg3lZ8A2GjxN7hNIBlBQgfXRjzttVbgIw1S8HnSgIvefzBHaLKgWKtnkYRAsx5/MEdrjYVfISlFAcRTOLvBFbmXcCKl85ruPqfS+N8MYdvYOwSBd7VUMLr4SoOdjB/+cpsvxOGzurmuaHUssXB8JfmXmnnW4D1j7TzLbD63nY+FFSvO/vnBtVT6OQNqOYu94egKn5/UL1Nc/bLg1L2YSn3sPQKVG8rfqQXKqle+LjJd+iot715F2rfdvXmk1ISADrWPAcdfy+ksr9DV83ynN7ccHBKdfqvx9QXU/i23mqdrmrPETUf7ZevzPOb2NPDSluY5UDJNgVO18nfZoZ9nTO+bxPvQ9B3N/Gh4Hndzz83eJ7CwW/AMw9QegSe5HcHz/vEh788KGUflnIPS8/geV/xDVD1Aw8fyrk6ZXziyvuWb3cG0vPEj1+9Q8/0+GXOaQ/fv4POPD/6HWriLElpEOcsPVh2dYIM6VeomY9mpADVAT/TY2P/3//z/4ZPf0HOX7Mzc38pwp8pGv7dzcJCLWf1FAba//57OpG/Wo6yQkXfXf2HqoSIY36xpqXecE+0aitPgv+6o4lZmazgL7SBfypbWVrg8kO4tbrw/5VUsSuD6ZCZx5S+o4TN0NjWKaEuSOrCbLTtzZHuuQM+WEUVJPuLuMAJZhLXreqm3Nl0g6rQmaHlelJTqVJ7KW8rZNmvrbt6tTnatxpKRZZFTfVKbWVtJepeF4uH6bQ/5n3OFwu07/j81k9mbV8xUGFXn1DFuR/xW16JXY5cVru9Oc8wCyM8jg3DbS5CShf9fpHqF+m+2DzupI7B9pvl8k6Yi36nZHaqyIl7lhGZMKqGJJXkTjLel1pDsT4WBJ4bOzZfXtr9geEsRk7FXjW39eVEUcRYE/lipbeR6MOa9onJpDOtbcRSYVjaDofbgVqfDRW37wgHXtT8erFQQNpswTW3WSNAxPmgKfZ3IhEqXWs+nHru6ECUG42BJMmVRlkyJLuxaRwaR17rt0qEnH1XGoxW8vCwrsDsVNJ326OZNGojYsGtZrheaWBKUrNeKyX531Ijai5KjYgfrrelRVZNRZI22qJ++luyCHtVseio1vOqq0FeN7Sz0v6F7ZizaG8LBTSbU5rbHBlqqXQQN1xhF8j73TpZdgDR3OVsvtxrTRmMLSJSy7HXk8bOcCZbI0morajYn7WK86147Gs2M/XJfaNboSV5Nju4/R3NU7o6I+NuNRJmG+AboVal9PlsGpFTwMRSo1vwnGWXKUlWe7Qv1PZRa9omOaFXmM1GGxdJlQkdthqVxJuPLK1QRDuodslph86GaoqNcN7m22LRIEK/z/Tr62ODjxJ2cyQ5sbaejB2DF3vumKkv1kRY80aSVZqsmh290FlUWqvVRJ5N6jTPLOZLFi03et1kqIPDo8aaCgSz7h/spLIuRzLMQTyqGONxmSq1tnWObXb7YVwoFBL2WFGmFbfUWlpuuY3GrqYKBaMvFHprj6/JVkHtmKppFN2EHVn6sCXSvMjoKFFBzq6taT1eyu0tYWyrozpp7BqekyRdizT0YGLsasN9v50I0bo7YqeNaiEatVtGQ516otim2qXBYLbaS9ZuuBaHMu0OWqWW35uwwXAfb0xlaG96FX0m7tqc6Du6xBJGq0qtHKJCxPPhuplwk2aV2s6PXNImN6VQ2i4jKo7i3YCvtJvVAtua18eM0eS1xVYYt0Ztfj6T+caICVq0vOs4S+voMFViKjcaK6lhUhVrMtSbVckhLEYW5Q7fFNtVqzruVZmp2msEq6CVhOvOKGpV5V6YRPWW2LSaTFNrzlbKZsTWWLk+VOu1mTdaj4KArlKDUZG2mK7KDGlB2a6Pk4lslQcFCWZOsqc7/WBUPSLpbIXh3Nq1qsfmdHhsd5nVQVJGRkhLtXmX8CwiLCIQ8LsxpU0SV14BJ0+1ArMt9oo7C82N9YosHdFc0WFV6PqgsCouJ5WBXUCONR4ttYJhTGpb5CzVITe2HXVR5BFDE7CChjBj9P5I+wVV1LZ+JY63bNzuk8ukp0060a4xrQjBKilVpc2KsFyq5VCKvKgurfpoGfetoSi3mlGlTKqEqfWKB08nvQ10rlcubDxxf1ALDEmNutxmNSmr8qg8UpFgcmuNltxpJbZMz7A64ZEb6kY43zksJfWUmiZuEq7li4OkzTZsgorGh76/jV1xhKbzsTGrk75NVKrmRvLWRGOnIX1WmAyq1LDtxuM4OXLtNhPxG6E5pr02XSm6w64n9otqla4X+BlT6iKKiZTRcNczDr5QaHQHRiVSDWFpRFMiSiKjGMdFWlZCttShWpNiob3Q1XZL6Sy4jj4uLAZKqVIatv2qO6lOqc1sFWzMtiJsEbVcinZhv9uBjWS2iyRpx2uei9sT/lDomVULLattcremfPbY3oU0lewPYkVJmGZtvRxR3UJtZ+ucNSad0Xi0D+fFtn0s7IqrmdGv0n4QqPqMHDj0qlLp2Uwgb5qSmYLrypNb0qgV7TfDVY790mANa6q+EMjmBMA0fW84KZVKfnXEjAZ7KXuv1xgOWuN1qCw2KebCe6uGJzW2tDycneRLSepLrYZePs5saZBhs1kaVCbyZqqaIH0q+XtmfdFqNsp7paxwdisQjXZhRxZ2VX9YOeO3JDsAYVp5FTbVKlFE28E8Wfi9wd48Pa/UrJrU7evHOayOfSorBqtKKZI8k1AXw83Ne8Dr5aqemINcHncHzqqyng83q9pZds4WjUa33dXk6fw0xkGNkNeLLcF3tOAgqrNpTLU2QNZM9sgrZT9QKgXXau6WPKLDdWSJaNdZU2JRrztCf8f3jptdnyamw1iYcvOhu9P4eMFGJJtUxU0ja6O6hzbWxCbR+8MtvR9O14Vi0T2yonsQ5nUKNIKigQ70aC4CZjvNTTskTAbVF8loSzjrfoF1Z+GCVsfLQS2TmU292ZUbo3oxSUbGMgmDVnsJUNgIrXZUD8XdkooCrtDfeFaRL/AxG4Oco7pDHUzaIVM07MN2Rs8KY58rqEOkm+NlOaetJnkUCOTdyN4utHop6VgKpbUOXX/ODorFfrms1rrrxsGIOnGVUkawLPle1IvFuCQf2EKwPMSMOzrRzsK0m23qhOeS7jiiww3q1+OpECfjUfWgzR3jcDjxVXfvhMGWdQRHY2vm1J9ylXr5wHWG+rCjkzEnm2E2172VsposK7OtYs3ROPRixx2z4mwYtZNyNe6NRoXeVMnnoQHzcLiahzqeB4sYdnx3SemsIu7dqdHWxY7bTKarwJ2b7ahH9MTDQSXcIk3PEcs0kV0Z7rpIcdWE1XbHuVvjk2YrZVJJLgVm0xu2BlXfPbT0OVsA5Krp+/V+uymwA+fQlPY5j1ZNAmjbFOWjlLT0xQEV7CVb2aGJlK9JkH0TORjOvaFUbdbP/FntwBp3nKTZ2J30J09WStaoIdakJG4aIgpYgywUKWU4q/RynWqwasi1VSNbX92pwxnuvNFme5N5tbNQRpWT7jWQZUPS6xrTIpty+h2MyzObkt/qW/5aOq/7nlSt9Pz9tHX+tjmUtUPVr6EDUbEnI/PEm42BI/VKnNyIODpoh/4hKbSjdaI17Cmpz71iN67pFassFqniSZWyrKYYJIZ6oNWeMZgPJ/l8NbTGsDT1Z4tILVU9ithJ/ZnBH4VdI6Gp8prrrTzhaGw27XGhF/EF36QVgeZYfbbnWblDVAfZeNjNYLXdrPmFnXSWa43qBm1SNOZDZeFsdVqnQ35GRuNkOWwfUl3GYvkqGznHJRccg9V+vprtErFGu2RVmMj5fNZHjcFUGVW3YnxI/OLItoj1lFzOhJBghs2SSMwVmfOFcY3dxDZJJd2eoVfbG3ssFqjBkZUnSUbHRYWpeF5MKBxqAEwmgrMql8e6yI87Xt/XYnmHLKs/rh4mE1gu+ww8u6WutI1hubgCGAespQ4n061CRoBQAmXHJCMntFJY8MGSaB8X2TftcqPUarWiyqjosLFaULuOpSz65RVfc9fkvK+imVBsjyilW18X240ZycQEy9M9Lu7xoyZYZrM6li9So15tlGBSetOI83vjDZt0Csyhdei3Q752IOidEI54zu2vmcIRuDvY+Z0R3UWcVbLjObXtqkqbUOaTyiqbm4kFJqEyqDrrQ7G/JsSdMVlOTXcA64eaeNV+72wntMZyZTBXJiRtlymVjKxxNa8jHVvViwgv7NiBXz7xMYf5uBeODiUml4Ves9gVirs95wjivK7ukctPfHlY3ppuwAukWJBnfD8hDKOkTAA0BuuOSZQOCA2b0VxqDzXK9aOZ3YjaJFqNhkGIdlNdaeitmFsJvuSVF6ALeNTem/fP8o+yzUz+0YU98J44WKyIrUtr5Z1issUqt9crPZMPIn+xSZfrJg4ieixyfsloWjY7O4B1MPcOqK4cyEKPro0L7cMhGa7BAg9G8+5S9dWqtWH7x2K/Kw69Fnuobg+ozHJtkqq1Z9VjAf4opDJbHRF+vFm3a1GS7FqaVox9qxj6RuiSG00T/REqqnE0b7V7hniMyg6lKz27Dm23FVYXW36NZmZBIgy5uRVSpD+aNmvxbFML4ypLU8sALaydOjHVOR8pSDzG1toh1B47LoUMJW5sThdAlzUWfuNA9XXSb1mWO56ypl0VhsqwvfbcmCp19aRSOxaczqhaM6Q6O3OpqlcGed9q2QRBTKaKVvd28SSgkqIyXnTmurBMJqKn1g47NvIVwBuRGHd1U2gcmjEf2czMOBRMLqfXtFqlNvVBOOTQfMPSDNkqgl7cEcLedARClOv6qlEYjMAWd+NDrdxko512VGajYtAw+8xMPRaGWEeasUD6zlgZVCxQLyOVEl2aPh6PaGWHWxC9w5rLREOKGm9cKiygvrbbDMd9YxqOBG535ApugKqi5+tdgYoqnV3bYpLCIjrs+irbE+rVYl+Nq0LVHy1XzmqBjKIZaGGnT8+F4phxjBJV81y7rwMYCMuSGDGzPhWuZ9SBdGxSH8/GfSEcTsFcslz/qB27ALChSoLh9P9T9167rivN1tirfPAtDTMnwDbAHMRMSgzwDXMOYiaf3pxrrb3Pt3+f3z4GbBi+mdKUxO5md9WoMciuomIlUYQDhiP/in8QOvaohs2XJW79gS170w8P1+C/iDiVBgLzlaFDWOJdKq75NJF/+oRopWOpY3fDM/Oq69mlFDm60knzUpx2Lof0AHAngWBAuSiiPBSmCvW06mIr4mKwVj4YJhu7HjKB5WpTCOKZBSEKyJE69OSStz5+k6S7J13CEsmr8KMuyk/AWSdVOy/i6zILIuSeB9HWAzGc5r+WH5CQC7TTZsZgu6OwYBmp6yKpIvT7/TXgsW7n9HQXbNmg6ssItUTWYtasQDXNts4qMzpaDoA+0il6luU5BGsd4+FTvE9+HkiJZ5ZHED3jWH56669WODSszzBr1m9IdWX308cT8rxq+ekQEPdzDeLQ4TVVi1NH786P9q8rSO280N4imK1PfytYEbjnTR1pMeYW32SXueUu3v3Duz5RPDx4wqwkzI+2YigrqR/+52hBCM3NLuoBVfDiqz5gE3KJyoO/sl3ahBMh0bg9VAScTKp4eSLlKj3cddOYKSvKyfPbZJUK4u7tPh/qe4NuFiJ+rx29szaqdj8tJL1k+WXKOdpXHLKhfm3iACzEqa9mUAlV0sef3oCllsUsdvVcDAbWDgxwMOqRoEs986bAO3qzQzc8M/xpZaa1CcHOFZi5KY8B46s9C6FW1yiK4+EP70+yxKXjlS+mvsXFsVy+vYjgqgtvm78mDZ1eBIh1sZ+uuIXj4XuNbpQgbuNNr7mLzrOtsIqPVCh8hOAjIOh/n5+NaDw0lrVCnyWJesMx9fGz0Z6SmausnEZDFk3UCmXNiimh9tFfQ5MHH9zb0hWIZgiZIzKKPODW293QvpNyEbjX4Xkg0MU6t98G/cSX9lk/fnVLZsVCecFB6QtvICBgF+pPGwnp/3sb3H2p7fYee4rwKVLN6YeaJzORTba10SONIHDxWqf0ClzSWfOjkIM5J719nZZ+XVuIKId3SVhaifgO2JlBhqfSfaF4v3vxCq5dZ5H65VLQtrUlWT7ucVG7Fp7rCBiW5WSckmnDXBTBiYCtFTgYFcJA+PO6AefAXZYLwthrvzxAD2b4qwmNMVuS1LyGxkx7qMa/6EMw7q9VYpOL3IjjTOTyG7syPeVvkDa8BseKbceRrgDAKwu1vUB3qDY5SE1O05ai27bBSE4Akx2AjjzTSQ/ol1FlgQXMIPVKGmWgQezl1avqi0s0hYTRI/fDdOIrAruam1398Zwt6SMP+WiGDB8pzxMF2C4E2GCbrM7u0PmaD4giTKU//EXJ/HNNGXNN5DwPQvwou84kVsgx1EoVUwBosAULX+3SEQm8xREY33ybuFGf+J40x9prVa4hgB+MU9CrAHS3dKjI/3SksU/jwGsU8J2/xObsBa37PzxnYJHsiSK8VC0SQGiWvP+y0xP4VqSRBCxuvLKNrs7XmvnCgPlOOVi4/wdbtxvjeNdOmyTvUaILqS/UaUd9pvuyWh6EdXuuLa9qIC4xsxMO95Rf9rsLBOKd2Pnda1jVjoXolaT2jz++K0dIuC6S9EDma41DWtjCXK7Or6caasweqmB2zzzRajWrw8ZvxrtL5yWCPNfOOXVS9KONK4VRxW2HgJClKN+woR88kn75G6dNhH4trBctMDAp2yYh6x2RBMQyKovs7ilPuhHeT9BQudEoG8gXdUO/OfKlDEf9xGWaisdeoUVHSCGAcZUM/vlzjsNEVgsHzqP1GZQpUFcAeeTG90qhByEV46hQp+sHnWWWRqU6gf3EETnoxRQyOrB1cR/1WsJWPzgZpg+tY1tKy7wa+dqH8JhfPgHqExyXCKugt1lcWFfaaqV8uPQ5a/2gH8LBHsYhjYSIU7z70GE7Kr7xIE1bhKR0nElw3OcdiVMJd+tnHOoG4hiKwZBRm6CfL4G78RRiTX+GBmuGiMTAnsQ0h46iw4lEPT3rfhCtT3yY8687uJqv9SsKbUoNzXWEFAMGrFqfrC3rrbNAGK5e3OxulVIMvN7Qzt1EWG/TuzQa8x7Ij5K+bp3WEN4Vt6jJBtWp+oud03RZ/XbW32t1NCiUic4wJ7oZ/DxGp3PIoAft4bNEx6tVWXN+PxjgFYFCBrdRIjn1arGV84CkLmsHrs1Y8owZyqN5gd6osUjOI0APyYQreNvhZSDABPF9BH6v1NVpVU4+RCBPksj+4BLdEJmqRUhjAegQLDFkhJDyw68MaIINdIvZkE/E+7IDULgs3QvvBQdg9ycwWi6dIqbDzGbtMoB8wErq0vnO710HTRfGfr3FHD4PMncz6mO4RhXm3eJdNm7EJ/alBlrnzB/r2F7XHoNxRWM+MFZ+nrgr/15LyiZi3kzyhdMF35nLrxtdpPueOR7b6Fr11hIoth5YrXKen9WplkQChxxClIZIHTNF8Tm+1n2/Iwu9E4XBLjUsKeHs5x+bKjctAvBRKtggLrvrQHTIiVHoAT51m11t56KcjYMOy5OYr1gjV0fpWpYfQmlvFyKV4vr+UiG2Q2f6EdUBiA9yUoF+K/bTSG8J3ItKStd6qvqHps40FEZ2Anj5G4LIFSUhXNOnoqA8nabXRp9l0p+eaHG19zNJqZ/4LvIXtvb6nqAxUXvj3Xk+haOyg74TN3P1tcQhz6+L+I4o6rqL4dHOftqi4QtNcvhgCLgOEFTuvrsPdLHxeqDsYVSQfKFJfe3cw0Y9gYJ/22kwIrN9QWBhNu/367YuxDk/k5CBxp0+JPWR4R8mV6eSMvlZKQrwPDOraNDdQXAYIlx3t+bcX1NhaPa77q2cQveRWOFQfODkNG/PmgTte7u+nnNS5IHCeR0pCEmSfuvgEikV+t68y9N6zl2JzvJa8lpoHRhxzVpGwmpA/RFBwbU/iC6tA3mTNowTb/PhygPeXHw+4/24lnyZ9ITmjMotQYc0jbKHGLgXNSLd6PdyJriU3tDQV92jrqazVkTrIfRy47vdqHRcg9FWgsLVkEUV7NBLH6y74J/LPcJt4FJyE1qsJX1NzW8RGe+jMVI8ANbcjPe/Bv+NIMnQ2v5dTqDx6OZH6n+4riq0bYjCwfk6zZZO+CiUQeUPXeUlN3XrgtlPRdgpIIaNrEcn0gP51HIIAvXOLR1S/NvBHoZRGrxtsXpy9Q2nkX7WRzV66XgzWZn8cErQ/Vmz4hmPjy5gOz0gF/atgn7sIfy3/mAltCQBgWN4UxPmgvBc+MGkME7bUP58HXFUtza6FoB/v2TLn2aZvvVLd/nvSKBt37xL2bS/KlGZihXUcUw/bC6zUvZrVn7A6bj3qcR1t34w95noA0K3+m/eVx6kakvzG03xdg6vNxoZw3osphFyEvnA9GwRfdT+sgPgiW+17Nojzo3WKIclkeNneeV2XoXbvWWHZyFrNnQSvpU1sbRve9ZBKRJBiIy5GdeyWZCZxkgcflRk92W4vEUKsjtFIk2DchQeZT8J5hBzmqF/qtcz6+OQvCG8RBTfKFfBX2l4ifroib80dH5vn6169IFTwOY9NB9SXsfgdooMzbeNpBnSbvJE/K12B3bRewInzTYkXre6H+WaoX2JYlDXt276quNI5+p3vgAmqhRcMSeU1cEYjhMs8kw+5rUv1psEsFeh1AKJYLjc3O2t7he4B82VYVqHYczeABazv2Q+5OPLI965cv48OnaUWMUaoYkdEJKBGwDuA9Z9KM/1OX7u4VnlG+zhpdWSh3g8kIyOX9d+8G4j4BZ2Yj8RP/jDHGYZhffdjoAVWktFKYHciIdHUKWPTqLdqRFDItxfEfRIC86RyycGQzXxW2+QxdXf+t2iNJCsoZeN2XX2JBib2aWN9HT5BLo24SVo1gYio/qh12EmV09i3xGrkgrPoWwkmPaSQdn95SPgnHXMHyF9XAhTeYDf5hZCVXis4N/V+eee7ceHaBh4eeqhudSO0hPzeN3XvEdimwPg20X2l7LJta2KQDxb6pvi8kASMcpfB5gVN20C9N6SRxA/YL2KqfH9Vhb8aHo3PSl6B1k3hSflMBrrnGmWR2dxxEhhvK3HXk3wBN1DjHpp3Sf0lfcQcvnnXxr/hCHgiNR8JnN0tZgJ4SP+3siNRLI59lesn+Zd2+gCjHSByPz1HFTBaAPbNmtteqBrcvjmwZRHagdx5Ge8+ImUkfWjR/b9XCc8nQTBN3xT5pIu2COVQklY2kc+UAW3c91WRFSXYCOUW86wuuQj/JsLJ344BRV8ltnG3mGVkQpTT2+kjf/2E85y7Sh9oVAfhMr48NvAGlqfAt32pdKneEShAgBPUFptHcR7BJ/vN5bfi6ZRKmTU0vYZ6M8Thof+0QdbTGYB+vB0I5SkJOWZBGcMWp1Q/Ta1TPHLr//6uaioeZAJ1LWKxRTtoO1ub8/nSRmnCY+xvdC0JTGkwk3Pn2mvOh0zRn2b65Dsye1MJJufmJEG+UPnnOnddzV/OH3OtDprSIOSIkeEUCFCPWSfbxzQvdiYtr6UO2DI52hid8e0dRDl5jYSVg+5l2INfRIud66TfjrxKnZA4Fb9YNgkO33CslMM0PIy68T6+Ry3DnOTYtl6hmT3xkQAPS/UCBuQHoiZlVETua0PEoy/8Ujf/57nByRHVp5GYV00UXjdSt3SBZTD9suBN/MJ/wclmHUCP/52NHwTNbzCojVp4khiv23iMoOhuxoEk7rtFRqDwI81EdjSTTfBtD90QRFnHWjqcP4mhE/MI+2e9Q3ZvbnFh8DYhTO7vLwj1YPvs75xAo1awlwis0MUP7HLil6+857NmwLuIYKy+KbaxMlIivf4hyiXNY9jfS9baMMhA/E+cl3VSSz7dT0Fmvqzjx9hds7pMl+DLBcbyrYrBbTmemkRWOzoQirZhJ6JhaHIzgBl80U/dZxEfoTGr6bxnvCPm5eSVQo5kcPv84qmbE8UZdO+MRnde2b5kKh/espRnAQcx1pL4iuTqpP0yTVPaIugq1h2G0HbI0YQXwPUPMKFZYifvTzrijOPpmI7ugrHyg1vF3G7Elq1mtpdPBW6jG4J6Ksuyyr0HXJcE/IJEnbbdBdYPOHhAOM53ZJW+bJ0+5zNg4+uvEe0RHUvdofQjF6gHcYLDqIY9big8OUu5B1/XIleEtNL/HmCPsUqrcgbJJ6I9cUfG97Y6ZtbSrUIN8ciTsb/xkAIPe5e52ApcE49g2gE6LaBSPWAVfD6ZrXOPARJlUz5/MTa8QDoeKTKCCs6DWXZF8Ueh6nEOfOmgG10OlOQmk6HVtx/aKwDZfIKNc8CZTtpPkwuQrd9rrHLdKz0vinaKEpcKfYdJ4YiR+/s8ZZi2NEa4KCHWZA7eEymAhQoWE7mC+pC/+zBNf5CwETSAJnF76Gn9q3Wdcs61punSf3dKz4MDOH3AaNI1awPnH10sL7l00J+X7/yvZgA/auY6f0KQN35au2dokYiwWsSOLlSXmhGOprPftTrNub8g2eFLOo5TexvFk2QhnkCN0u6C5p2pdvDL1U2pf/waYcvH59eqtvy9IL5udgsHr46q9DuzzZKRJPpxtgKPcqL6ElRnwPC63JgbjDAoLbHJvYXsM1t0oONsd5BPx30EPXew1eDbY19nVwTP/fkXG79J5BjoffwmV67luJB5KESW7R3PuJWT8owd8rDKK92bSbCHyaJJkVyapDrE4X0Beev9tEiSH4+nEj20L9xVEcYD7elac+gvMD9rzNQ8GdSTIoMAFUVXr5IbUS22A93hCkf8N5L1FZQL+Y27GAHMWjlrB8wEmvnbIpC3h+hy9EfTcqQ9jqcN5b1eBdNkuDjEi5UXh5Sml5mVOduZydMukUUPjGF5fYgiaB4FUOwTMEqkWJunXv57m12+svgH1fDa/p2sY9C0LIcTQlnM8wNSqeAsUBDY3pigtyd9+VQjApMkDlJwD5s0iG2JsQe2uHNmgVLQiSjiYXNZrLvu1j9aMGth6maFQpL7sPDJmwnLiRWlGJckAY6Z5MPs8gOhoXR/WD1j6/DI8X77ENl+Oo5nOOlP3EOGKQSFlRfaBbQOumkR1fJd3OHD18NCcVP49fPnr+nfQhL9ZUzlu8P2etaDpoi90Hp+OvTu31TEkqrbx/Ggb01bV14kwaTvn7pfyZqWH5ixenh1SA/ntGHQ+9XXnSI8cjSzSuWcVMFBAjKgM67KslQmip2lyutnA6+Cr56ju3djpBaH+Qf49GlsNogPAs63Ay0nHwtSJ10n8kOk5J4DSwvxYrBPedp7nL5WXxyXqDiTGc3d/vtR41De0CcsfOLjxlJAEMZvq3IpZqzP6jZiDpobMloIsXceDMaC2Wm+NB5O37bcZvFFoO/fWWNurK7U3dVvl8xqOXP1moXtun74MkMBYLeGwNymZyBbArAnRp8jkRpklZaMDlb1C3P/dox+4BOlcx8Ux+Ivjrel8E/KFH98KgggKJ76Lcnwjk6+MDVimfmESvmz13h/F49QebtkWFYm3LfDvvRfHiJG5RcEXIEHhE8lyNg9HeED/2u7ELg4L5/7Mub3eqjY92dyHkpvZRJ6ds69mCM4sLq/R+8Ciq8h1eJY4F0aNCQltn8cMrPt+GvuZsLDg/fF0i9z7+u08TEK4wVsiTMgfvH/HuC1qcjYHqDepOD9VWPYztpYeP8V7db8sPYcB34fh89C+HY7hHOnPQLZBltdpSd3HG+IOnQM+85kf7a/0jLyEuD8183LcHJGXWHG3tOHawCob9J/wEDFe48nn0DDGaWpCD99hPi44h5U6ZdR5YuaOXse6tR3eJtEB0XgPE5hQAY5E9fb/wzvTYO13ptlcnQTXXuyGRUoc6yasvmZ59bUd3M0TLMkYl8eQ66IHWCNMl+czw4xZSl+dAbXdGjn1ik0BqR2ozGPLLWOSjjH37Rs9XjnI/dyv+wW8Y9dJZlUstz/2H7peKzjPJqqiO8e052a96uZ4d63sCtmsg3BRrLzzUBp+n7zka4EaCtXhf09h23gj/QpsxrdpNILe9jeFLdOIWP2vP2OyUDzVtHkiHuuL9IergyS8qZUBr9R9m+HS11D+bsf/pr3s18YsJZE1NnbT4laxr/yT5+F6j52tnLn/sY/zd8OEvgPQJAqzmfgMaon9lPuDVaw3fnw0Ge6cPLocGhKCyIyKxymPzsArUGhXY2W1vQWXbGQMMSGr7Qz5wbd7LKOk3d2AUMpJ3gPIhhipEAUKWd8VdATagg346/zsibCF7q/LPvYn9R0wSjACxqfjZSxWen8YeNHjkT3cu3q9hnjdUT4Ury4ZhkPLxWZaNUcVYfPKHSOhqAgpBe96qosZoRp1M8RKJ+PVoIPSnjh0joD5GgiWGP4Zum1HXfV9QFr1VXvrT6qCO5gAqw877igFDnArJxDquKGw3V/BDzUNj4aAdfvEr9h8ZyrEhDXle71wi8J0DmLEyNItBGeC83ImcyOz+/9D5A7WpRHDvCxDGZwDyr6Wf3xLXEa10xLMh6wl7RMHW78PHbyJ2I9NEo/kM3JDpgRSTAM/r93l7uJw5Y/EXeGPbE6d0AMXNO4EUAkPM7wJkkSMspsOiAYKntPayiJxRjJpqHhzjinE8NhpvpoGU47dQP4k/wKS7mG7Ma0pwod7ZWyx04ALBi4uTzGZZch0st2/6JhY46DdCm8K/kUMw7d7pReySeNRH5IBjkmbHxAiCZYjnY2pU5PwLH+pi8+dh7J/gNZcLay35ZxUFprC+P69iY/Jgf8O/f5INZF06psxWNGvNMJyqwE1TBJo+3vtmDNqqSbYzHt0XzE7vygcgTm+B/9gTGdBCHhTRzoVPybP9OHh5LHeXZPj5SPyaifmxPefwTRKP+xT54dD5f/ocPHcLCM7Yt8xD0Dx9VOLG0OW7EUknHywoaS0j5Qg8h+EGQnzGxf41JmqygsV+D+LMN+onkN4WcP/fPJTOOP79jOfCfxnLcQ7tWRJZI7R6lVrpJogA0TeZB36n7F07m9+HGC0j2WX4+EsSE6uMZJxz9Y5y/TtnnemOn3dEJWO3UJ/3BgRJb5xVZ/68xIHLWTw65tzNJH07NjVYk0FBe+EcqOsZPF7/mCzVqiKIec6SucUNY9fDJoE2UbCZildYTyZmJdfLvl5JZ3V+64mn/KE2eIWVKQIxnzUqbNMtPJvRoBoV9cjxc6gsd7yB2Mi91q27Kgx8a5Hxdlfui2y1wpXqkd8+KqgB11s5MLYP93GWEKHPCemhcMDSAzzSS1QGIMMDs9yNtLRSlaA/cYxx4+gVRhKwyHNkUZIz0q/XwwwGBwDr8gAb15HkdVtcV+giLb4npWa1EEvAqr0JcsuANtzeoCZ7vdvXw/VsDfJzgz96oC8SpFtoVyoex74v8cUt0t4mpiTEhi1tTEKD5S6P2UdK9wiiUklQX6xwOK0JOIp8y9use3k/R1Ssd8mLY9GvGk30eCanUv2ODFiB5D8CNAXxdCFPx+9rH5JkFEa+mS8Mmv5A6kEbwQ7aFS8Dykfll+2hKTD6BG2Dyxg1c8svtc39py4OoaR8L9OWF34W4fRLNfvguDobM4+MPVxUrGgN2Z6L0z8/9Of3bXJWj13KFpXAKt1R6ODKKpH/864nD+3QyzI8LOTL/lz//8flQEp4gzI9jKujRj/88cZigUlb7y4XUJwirj//wywCNFouJY4zmv+8VzSclPq06P46JSMx/cAKl4MP8EY/Dnz1QAzJMDhUvaiUxP8a8NQh5/+HYr/QLdR9Wr1+rDGZ9OMolwcvcfyXGQ9KoIQXudlW3IthznLwI/+AMs+eOc0l9ExrI2eX7G8/Ef5z/aqjcg5Pew16D7RSUZsKwW+KkH+5faw4gS3VWxUe2zwDYQBVIy2hu4GPSzfGWhatCXNQzoZIu4Svy8GRsqDpYvG5azSS98q/oFSzjRZNK/rjE7TiuAqeSd0PUDz4cfj9gMrsSX9C4xw1iAF7w55i2eAqUEbh6pTmdg/n1A1R578y+ab3zofxrXW80frAOnnYq99QWuC9qfp219SeeHthfe237Mgs+8PsGNKEYpvmJCCgF1NOUTdzt0Pr8urqjiaBdDm39937wrfUI9VRcvCC0G8y2wBy6n81jAE2s7J+95g/dJl6OwuEuovX2NacWJv/Zq7m1ZrlcWja4RD85v/e0L69f+9xF0hu+vP17/+XlGMykWntYjcqf/YHaT45TsLr5SGO/9wWqDMW8bQJ42ir/T9syw5fx4o+cjTnLIfb4Lsgrtcoj+ntPLNI6jCOPmKxGfpwPBOxKoCdql9H40tY7URqDy4/sIS3+eCuw1LXbJ8TxuX8tc5BaTADw/c9+1/EKqKGBSXG+7SbgAu+z5FYwvccz1kJg9venJY4AfvZrRx/tURpUFUv1ELTrEhxaXqxPCJlN81h+IDkG9ub8RFmGuzOZJJkE6d9ttKZ5T8jv8ALGLtzlG9c7QAuYyAMCYH3LxcQMA0aZ4vg+34NhaSBC78lrEv1sNTgVz7ssBKwGNQuhou+NGj5iJLydbILXgdH2QuQnzVxcxLInRmDbDzlihYrg4VJrbp8SepU9UEQp63RdJl6kLSY1xKNsaAFfUWQoMElp3Kvoe/UdOI9SOsSP0QH4No/xmtHi5WH7CcsAcUQlUCBJQmKRkyX+I8WRDfk4kwhnRUZfu/JdUIPsPnlOqqva3Yo7DGxRCA7gHhTsi3qQDIfsksxeRDt9Ze7ixQElnSSAoCymJ0vEnU2Mt5Ezwxg8nZ53oxt0rAxlEx/W5fDX5r080fQDW1TSzwmGjTP2xwWQMWq/a2UKLrZ2Phmwmo7xmIEMNBi5cQ/xjfrdEf0eJ9QWHrSxJD+fxOOjRPzm2CUEQlppQaros9GMlQYXw/vkQqjdk8iMJF+yZ3D61iE+oyi67A9FjKQ4956VhUdNm0C3QAYnU7dAtc5bpc5MASlUC+bCRCFatiF2nME9aE5l3QuUovwjS23CcSnE33lVlfwNVQLHWzzJrUFwn2fI0+8A9tKUdMQt26Bs09u2iAd1h1g7HV0oCrWgJHDG/b4ys4amOciTRPD44YWdVw/UrDtkyKcsrBujYljmcoLCDQl2tRnjx9brNs1oBj5/BLVh7fuygGe0OrTonkBr9KuX9ZAfIXzqxSpYOAl9z9K7P2v80yH2ey8c73XOgiqZjje5ZmT2G/TGrg6X0o/vlW8u9U1S+lkPbIOkpq2MWpx0yQUm2xI5+kjZ4gCvb1sTr0tbk65ppQQnB1OleFXIM+ABWVoDGkE53T3eYff7s/1egR4q0z30wyKMT/NyM+bB88+mhY4r2iILn7QEgGAQvomw8i5YgNU8kg0T44BcL8C7QdqOezutvTlM9Cro2eej6NMmNphr5YRyuAhtapPOjwkJ04iqbm0R0NpAFGLcmfzG0IdnvoIg3FqwSF47CCt+rTVuZmWnk+YKTCGNkwVqplzjxXqgTJL2ZUzTvCTkHb56IX50MeyjHJgMRARDiAWYbuZH79eb2DLRa48UIVVrUWYP9Ynv22leOrhsdeJqwwpDj+LnMfC2gAjdGxCHEiPA57GHQLT3KUscHr1UgZf6TuO4JrRiY+NuCqnHmESSygQo3+2+aXHTeztWiwLE3IjcI032+kKrFadEKKNXsrYm9u9cnuWdkNkYOcvItCEm9L3yOz9IYgH2CcdAIg0R81fuD+eySt22wOlL5ftPbmhr2y/HI4Qg/isfyHXUn9iwfKpR/JOTMAkC176BSkTKPzmlbevaL9cjxTBm/8SBl8Myk2iNTjb+leOgCi33X+jv9Xf88Ff0t755eCPD/t2/HXML++igKhWreI+D+YMVlN4OKkKPB/FX2xUbZoyqZxdN8LAK/vlM6UqmHvw7gP7Kx/iVS9JA456WdJj+yW2yVcXQ1KyGjPL4nZviuDnjcv95W494qH5ucF4sBhbTkckVgWyEAsdXmtzBT+5Lhj9gvz/hHlnn6JWC6HEcwN2EiJHIML378UR64oMhJ54NDtQZCJ3fRYLQS/LFa4gGAq2jB2+C6PlTNJpGUin+sfQdjvs3dosFWKA0aajgp/9UiQGTAXlggriyLYJ0yT24B+cMD0TdU5KrkQSkQGZOHk/yE/d1eZqkt8uXhB0swCSKjmWGWiC39HbTLuD+EttMGlLjkP4WQi4hzmTbOPKEawuWlBZI4nTRnQkGp9ne4NBez7b+MQksA+h8nc1bB+eiOqgiqtVLq8a1vknKlSbXqpeH8BgOYJkFiN8Py6DBS9+O2rS6HcR9Lki6EQBv9HLduVKnnSBd7TvI1K5eaBeC7iPoW9DiDijIrHYJhvcoTuIxKBpJByBIwMAFgiC8g9OiNNVl5mEje8oEgEGkqtyjInL0Mr1y+9ES41W5QMcDZEjwJWb82juTiSThPfoa2Uz0HZwiNUTTqWFLXNLTG0z2qVBb8CxX8RaRWgRfmsg6obIDxDpWOI6Cl9erx9i3JfrtKKy1iZQgD+lg/cfWZ+wNUnoPDn6jHRzGD2GtPvjy3WYzbE6dVs/TPB4m1QhxC+bDxt8kFvJupr21Gx32vQkdhdgtw6ABfWwUR1Z7pAt+X5vEDmZYevwFk8D5Vb8fytDfZAEhPoK7K6esxmnXcBv0UX7T4ODVZPr1wDPPi937Qk3Fdvyd7XCQy27j7jv1TqhXm5jZoK1f39oty8WR19516NWBH69SdpERhfwrPdQZ+azhBFFZt7q6t/AP3el9R7Fa1VGm/Vdq0HnSoMGjFqxUkO96q4OvrnyKw2bL5wD1pDl+bRHzIffrakLcgW+AH8jU6zQUxGtgyJgXrNRE7esu8OoK4xCfxU8o/hXV8St2D1SOjYuBPvEpFoRLY2svezxOU5To05JgDkjzDPHrCjUaxbn7snNxEjZnhD8MXJ3+vIxQD9B0FoU0302K7Hi7pabv/II0ZDfsZ0x2l75F7GGNsNjqkYY42Vd9SH7lWFz89fHz8+gQE4guGwi+2D4rw/WenFUDXERcBWmYRETuZRR7k3RZQmOrx4OxsbVC4weuzEE9u9o2va0UoTRH8cvk9bMXoTCnUKkWB8FZqtJa7+WI03Xuffb+xEQNeoBFJOhOvDOjg7JbcLPOApWBLIp9X2c/b5WRfeKlm6QPLUYh5CFct6Os2jb7yfSiilREWhS7WE5TMl048yaS+rmWo3N7ODJVhw3ha61mBVByHr0XFOTPvW8jI30ycZVMK8gCiFf+fFwPGzANa3DtMD98rrpQog4/11fHVkC/StFi57wG++sstMn7EG4Waj2xKZVfmfOvXCek7BdQW0ZLI2hEmZS64NSa70gsb4qLtUHyVM80iGKHfIxY2mTYKLKBr09q3ZugUWYBGdQDo1vQKeRrIoMvPX50A10d8NgSkMK3xJGRppicd4aWlKuFxJwT/lk72vcOMlo/IEPYpt6lkz5WCDxwQv+1arhPuY88QH0SGf1Xpt3+/eJaRpXyzzh3aupMeaGS69GW0IpuIEUge1NnqPC28Tkvt6OcFx1RMo4Z2/LtPTGSf0eC/Vd+saCmP7nxgfGQ5L+0UVk+bf2qRVD+iWOc4iJ/ainQIpH/dS8BFWenb39rsyc+NZVutw5mVsT73X3xQi40TeWC3eSBmD/+zu3Vf3KAm1jowr9zgBn6JwfYCvDw7/xldmxKoUSrKdafA3+PY3//5PvCgCQYf8dh5WCUFQr95iX9ymd7hgJzJuMaRVPd77/zfnX7pWSSMV5/51Gzv/Kog5Aq4D9zwSiyxHG8+38Y2yLUQUyFM/cfeZYLy43+FJLBGUHvbwiCFsvTW5wk8Pzy0pdErxYI8GBQnC++jwWnkcFbLh4tYnPDI9MGgrDZIHNGYf8W4Jb2TbRBTplHXNQ2UCm3UmxHE9v/vPLVOLbtzQN38KsBXqu3NNNwU1pZsXHjCgQ6MFlfmOuvUMtJ7jzmwd9HJ3P+0l4YPJ4gdaIgWIGN0Owux1Y1+FPNhWFV540Lc6uWZfm//C//2//wv/4uGfM/gz+laP4/LKT1n5Tz+S9Urv5d++Zf4/yvapzre/yp8v2vXx/9GfjvAlv4v6b/Q0Gg/+n/pCLQf6n4dP+rWNCv4ql/Osuzn3KPfz1H/r/TwX+t1ta/lRf6Vx+3+b+26c8jHLutH5Z/9vj3o+T/O13+12pv/a5Q9H+vt/8Hy3D9c8j/vy7D9ffDkv+9DNdfDwb8z8pw/TxS8v/tMlwPK8HSPEn/WYbr3z/F/9NPif/0038rw/XPhv9ZhqvO/8Mi/9nVP0sRPm75AMd//tv/trR2Pfx3Gv1vKm4xz0T/d+ttKcXvR7T+uNkfm15/lSr89wJcP0Wkf75Zfupu/apA99sp+unnqS2/XP3K4/l//Nfvh8zmP09zicufp9HGv45fx3/l8VJ317+WPP/1gz+PLn5+9FOk+ne7yfWveHrAMX86e2z2r5qIv1zs1yf/Osaty/6V5D+/m8dp/nlY6/8zpb6sXyEB/1PqSya+16/YKLz/KvUFZ9ZbS82Ky1HOTx5+oWKMp8aw5kCtFCUPlhKZskSZ5iSPpnQgjFEv5p2YJLdctwbPdDsjtka+CxVZ1fHxgwddbhw0ZRwoeoNiUutgrB0q9UJShEcOkpQ2IjIUYBZoDXeFseuemAJmLxyMLXuZMp+SXnTedjcJpmyAaQ7n573kCJgys7/ewwfyjBdLxmt2YxEMUKScQYdJbgCEFTS8DKlTBmZ7FBttErq2fQuZPCleAVctQx7vnDt8RFODyqkZGFjS3neZBOyc8gHi+V9TwVXm5kF0AcZfRVroDrAzqZ+9vGWzd8rN6nuheggFxl5M+JjdC1DJ9jP60PhVLjVNuH0B9nxaLhG29pXAKAF2C6yprUYOZe0CCRWPNKlsiGEkY4nzO0J62n6K+TknOpUkeEc4VGKpZ2YDtG+Y6iwg8rT37fUQ9Xht6oVbj0uv15x6+41zeKh75l8hUT/jGcGYjWagfUGPDhGtmN5sBcywEBGQXr10N3vtV9YiCR8ub6V7VpIv6monwdaxdL0edDcdSERF9x53TaY3WrCY1r55DW+aboRHaNd8ey6OHFpo6NufkPYtLZWEZAxYl2JlrAT6b5JeAqUxG+NUr+F+E2DNh7RRD6gx4CWFjuhksJtF+R2UYsqtnmR+Kf0yNe/nb4AxKJMKlh98xhjo4AzIVjIDimxvufbdf19fzFzRSn+0zOWNLTTE77rr/JULb56EJfihauFExu208m1fv/GXwZA4jK0yAWU0lOVrd2Za4hWjUjwsLqrub4lmiJHwZlitXv0cqg6MN610SgfQREG9XPGhpG14kcxdSqPzRNYPrcfLO5T7U7Nh7UuFY0bBuuqzlCAgMzuaL+JivvX61vXPvTYyBIfk7fhHwPR66UNjviKTqeTaO0cu2TfVpaTKXMo2YNX7DuBzwQGWxPz4qO+DrP85/B5SZM6pw5ZKaCVa4f1w621ESgUc0/LbkJu+vkLFPKpHRLXws+CFTaKEbb2ciPdaJxUxAYWlwgKD85jT2OdyK2QOoA38fhgU4ZytsqWzFuoCeyJBM7MHXf8aILHxsrM8ImRy7qVzQoGIZm8OK4ZaSleAG2vay68qCbH3lbskgpeFfvzXi1Zj60gfAwq1UkOUXhXKch7FoS6YldNa8P68olw7LOKdiKPQdckbtIfs1XeFx9iPMG2nr1evWkE3qtTruG4JzvZYa7Ip/dQw8OBADuP4KLdH+B5o5WOLsF+gsWTHZbZ+MLglWvNFOyZ8AiiyhCA1FmvmqxPp5q56rLhi5kd36y3VL/JhZ+6j7g5CV9LXYw+OluOZHpqWUykXvH7rb282ZJGCAOzxxRrlyVpmCNkLYrOP+aYCXlOfHCmkn42GtB74Bm/RGzhKujn5qJExIRKmpVIbXNTx9RjKLD3No0DGTLS8D7eJn7jZIS6wGxwKzx45ZS9S73ScSfUIZez7u1uVbjSUQFU+SSXle9DcQV6lEDxZZf3Kexn6oF7VYiMM+ksL4Synk3QXqrKwD5x0nNisllOeP+ONP0LL9IoeHF7Tl8a+qdr8rJdivzReoJc1GgE/TmR54w77uvYB0Mz3FQO184nl9wts8J7T4SNBedAIBbPXuhddR4G469UwfAZCm2GHwA+osWNWwsFQoYTHBuxUINWRmYvosx5zSQS3lnzoI7wu4mQE/ustJPj4H6mosgW+QunLdQacg7qCtCnb8Sfo8w42DinPEA1j0YwNzOzzn/0IHWjFGSagXbQDqgFzSj87qFHNFOWTQ1Z3ZwzE3YDc4cXIlFFxg+5BlxR3b4/bei1fnp8D9Ki0pPgTCL5jIMjldFPgWztKqiX0gKjDpsxXTPCVKlBVmDseHo34zuNQ6mwkkjfLtM4oBbpT7x7YSPawNwY2YdWQFums31E1kVNQyPRHlYJU11kO41Hk9EudjwJ+q8NP8DmIJA4DtGng916nL3lqcliZWFSG6LKBCTfI6FdNsVIfq3mQe+7evz56EnMP0AImoGp2zl+HmIo6FLXfKnLqtuSq21+AaZLpHj+/qIfxIDREAp883Bw+m7pNw/fbXFCBwWQP4MXsBX+NhZN0QhXwpbNHx1FDHX5g/SEDVvCeL7D3hyaPhV5V3kTvMMyLhaDjabI25IPenJiks8yRlxtfYk/bkYtgBAEup4uwFyLyvEmCP+6Hex+tYA3Ni5aXthAxqHFpb82V/pXvrNY3TvS9rSH6dpFQpmWMXl8c6t91yRk4yG0y8Yl8K4nccDSPkZvwdqt1dgLVGhLDglFKAJrW71STd25fZ9ec3yrMg4xBwWkcpP1zev6Hm5zwbqea12G21CxcqgoDu97WTTohmDnq3XLGkUm0PNIFY6iqv8vSrTQzUJk1xcXRxEOGHRfBpBJcjbpRAUNa4uAJdLlGeHHL1xYZSzc9hmPdg1ULQKkTt4MD94oYcNrDunHlZm56uOxMBkNKnYXvQ7A3CaeoAC0VignYAvqU2KEEvIQ9BmyX+S6Jp4xxFrsqKN9hlHdgivh90Pu9ddOYh19RvIcv65RTpqHhWut8mS+SxPw7d5oyPa2Vg/X5GrYedSSK3AClAKdwH+y4lYEXMXlsFpG8OqAmV6K8+iHjypS/gXX/9HCRuMM++J+47ONYjdKmmKztJTMlRWI2V+YFvJJvdCbjD11/uC26bLXvasTeXp/USPMuyT6fhNYsKI9F1NCTD4PxPWVpijXE7jzPMZCkyR1nwujFZ7kkcI4Qu1ZaDbRc3Ec/tW95UXJp00hYjNJgBTAMPrxLb9a7guqmk2JfIETe64mrXqX7NZ6BQr3NHaYo7a0wCziTKLtnjaTtK/ko2fD9xdqPMvNwRn4wlOgLODxMlsH5wVJej113xkHvF+7J7yRfBn4VEBB5oqAkXXJlzDqTI+pUu+hADu0TPRtIMWxwzSseo4T2mMq3nSsXSnX4rBDCJPsfCVmfMWrRp7TQvdzIifJ2J4jMIUEn+nsRX3LBJxS8MSjeiumDJDBMj3shMJx4c4bFjj7cisqdQ8VQNwOkalqHeT9XQFo7nLekX4YsSEcgWJdiigBT5cClFZmtQNOEe+ho/LnZwv8slBZLihh8dpp12QN1uEb6dluhik+okoCczYlwYpzSXaT13htGEeazKoW5qtI+ZWH+NJvyKL60zdTpY2thSad6Ei0x3whm+WIUfwo0qizTX3Zo8fJcbeUDqtsuiGX4GDdwsa8jjITkkT6a8Hy9ppPBy2VMRWXyQXUOTERiHzI7/narhv1kCTQOZSVvf9WSMv3uPlEtwR4PCPP1VR6ac5aMC3twDnPGorIjypeEpaZqRYDAN/4bJGfbZKCiuRYx+vBJIXBWxibuzZ9YscjmStNwZmMwP5H9gfZKFIkZVKSxyr9eJhnEWOfFSIEj2/pt52xG+hMw3Dj50melaLe1QXJJDcwdY1zUeInYuK1AVnNsqVD8fWBrYOLMtdW0AICNkDS0pkM0SDy/6LJAmiE/107kM3O00w6liNXzLZb2xttc/bwnYALnkhMXev0w845qeO/90kf0ciQ/K2reWiEbTfDcwAJAhn1clpaWv4Ytf86u3FDxK/U+20dADvElyBMm0QrAh9aQpTiBDYg/6DMbKgF8wMA6zITb7kVSimDnPiNFBx/IAZMTmBJdGx9dVAA16HyHxgkHSQLGoKEJN3wL4RQhHUdBCRnKzNxALrq4r3GtFpHuFUkwyuVDb5JxFK8yVTV23uq089t18ZAVoCDh8axoEPjeOvgEWcDvZ+draDnu1X9Fos0ayUd/CLDtM0+IC015jR0jWnQH4YAqQ53NdbDoZDFII4lLgaB91RgIYPsvNEBkImbcp3qDc4GfF0jAE7I4sS2MpH/bpS6Ub7k80PpD+ri0s0BBaCIpVktSBnQxZPJMx6wZOya6QE756LsA5Zv7sUzoWveOBpI7XNZbE1owJk+k+1K0wJbC3SYsc+5I+p69DliJeKLkApydl3Zd6jXTFtkdk+QYzkP7RhPBio9gYSw7v4tsIM9DuDeyjrzlh6fABUDmz0mnckdghcNioc1cD7PhIjQ5oAXhD2FpWq0Ah4XFHxucKYahWn3hv0xh4lnLIe1b0EpOaLiwrFJyRNlXzI6iZnNSwT9+b62UD3mKEjC2joQHUyYmvo6XZOfMlepVx9p1epGmuDILJx6qoDbmJYj1jlBwa+LfR88zimxKbYZeapfyBA3N8gMjzGEGOvdDcrg77buqQt0dDuY3cry7MtgtLcA35AMBmGzrXHeLU8++H6nfhQDvnqCm4NneP8h8OiwfanUBx58rZhl6CtWixt7VymDWi/m8h0khWfmIw+RTXWz31upmPOcxnganrz+HKc8XapyWE7PH61N9/bXO36Nh0qRDODrN+X0yvs5Fp3HWGPMBEsZqcaP0pJFmruxX6ZqbRqHio6J4psq5qGO8mt6mx6Rg3YZ5ah3O7K01grB8j+0hbLGtvol1Kp8Zr81FSwPpE408g6fy14JNt+I6Bce/k1uZgb0sQK3U4xOiO48d7Y09lrxdKGTbXmQVTFJXThx3QiP4pimToDpwU5DS0OCzGLF+0pnx6cR4NfX7k6PuZixKCAxuLnYV1fQuaWfy3YrivvTFajlYSeuVkZEgARHHeqTJuy91prPN5VnBF2BDIWHcNh59YFRbtsTnfIzno4PHeCZLHxWrVVvxYPd/y0mCMBSZLtd1u3qwv7werpGrbSjztDczb6/MZ1l8gL1O9Hel/vwmrZTxiSfiT9hbZDEkvOZgU2eTXqkQCjNb/bzHDyGULIYGdCGrd6PjwBxPC8XVDqpq2lVgSYHagfmjbqVl06EB1WSAmljwcAlFXOUL9XsEfOQHvk0KIOOoowb+4ydSUBJZIsTbfe85sKT6Tn3mgvy8p+KKrEUgLMU3EpBzdOycoTJVroA0cuYwDLoDcHO4Yn9amepzPqDkoYeOoGhDey8I7r7EqTu5UAxjZXT/O3nv1fQq02UJ/pUv5pbqxrtLrABhhSfmBu8RwkPE/PdB55zXfaaqYqKqozvm4nmkwGWSuXOvtXJvZcKyyvDQq3g5vr2+P+8xzLN5zhAnmvUPDBGjp0fO26ErFME31kxsoCjzbr751cZ7iyRobYmzKjrBZ3J52rg6ITLvezsTb6O4TD7HmQjKyLhuCjtRh2oQxvIVuGhwt9ngQLKVq9NGLef46g4n8563GyAhCzbANrNuNOUnoeJC/XJkSquE5eNYiebjZiC4ID4/5iliMaNzOMvOyWlts+sNzf55zoncD/a4Hc53bRcoAaODCw369pfzsmExsbGQ4DRvRWmsB9PSu79GSSQgs5gbalvHydz0vPFqG0rnFEd8W4appxwfmkyZZbpJiVQpHjnMdDX0IvgBv6TH84BzmyPfOa+4PqqcD/YdC3AcP9ldMdNuC/vmTPwOju3Vd3cHW5fnh1yUyafJriUPAdlZMHmDgS35HG1fCxYbkmyqPDXs5wCt6s2H3uDl4cRUvI6RR4f3pHdousIIYR1KfmuXHlwtWOt5n38s5cyLliKJAstgNbyp8cu6B1+uSkrM7Dd39TsukSWWDR/WzlqOgem23Zc2a0Nys9m3eLs1fvNKKiaoyhuBKR6vgileOXLohR8ROqETndZerZ7j/ncKz/3DNP9/EJ5j/jbWvwJFvyaw5++G599i5u/M+Hc6fK/eXf5z+vzHTHwXJ7f5/22vl+pPU+Xzr/vL797of55m/36Ph/nHxoU/H/j5FZz5n/9O2OE/DIQxf5t/xiP+Uvvv/l0/3uCv8/g/dniLh+9E//k/lvf/WIcsn+bl+0p3NYc/7YfzT6Ia/4mqdPWQ/3fW4z8XG2SGb5wz/q+qyH9p2PDPb/N/dtjwiSXxP4QNfxz8F2HD//Ztyuk8jmkcL7L8r2HDPx/F/+lR4p8e/VPY8K8P/utejz/Czn/Y619L+9cRxr+W/+9EDf9apX8eivyXG/V8g3M/wnLfvcX/NB7+Gp/7PVz4jyHGuvhLHPGPYOGPI9Nv8cY4nd7zrw3N9/ePSOP8XxT1+27ww9k/o36cVDx25f7iZn/a4MdE1ESvnMcA0HaUsDCzpkIaZVowoWJIehgFlEt9vXsfjswg/+Q7T7DELH0Cb+dYoaHYvWTFWgSG5SOz8kOiKY23VMyMyC0jR3Rn941h6mwqHe0BpIF4pC0iMAjPRtFcBiAIRikDRDLNPCAwt2aGGs0tbF478QoZXNhQRnVAnIOYUwCAmpaY0ZuZViz2UqLXC6ifw9rQB57XYwGiOJITbw+EQC3b2kAF3xcFTkADgyP09AjxnRNPEQx0NdrBYZFAoAT3BXxn63WQ78KkNTfRBQmtY3HnT1elToXcCMO7z9qt3jcf60ORGritz2P8jE1RPRyARmk1DE95sFkSdCq+8Z8tv840Cxa0OsBh4jM3D/AVsCA4LPSKifvc52vkQw3vWzO5/qm43plsnFCzNI8FL/C7xdApwFgnb6JsMjXY9jrVJK0ZWEnuPI7YXHn8YeevWPUoQ+uSF+w4AMgIoUPVefV8DeeFilwmyYbARE/06gjy5GU+y9SVzD9kkJl9Gp0rACDCM1jeNaO2wbrInHhZhPfIDBps6IRFdFmAQBggh2ZDnndVIX3xiHU7cxVBYUBjTz7dQhqFjXeNTGlGlwdRLq+KkkeWJI7zrBHY9HD0ob/f3Zn7yIJslnOLypRood7iWyHVzxdgqwGaC3iSJvynxKfjporF01rtY/fiCgVknMlPbcmSz/rq5UF7vG/RKqZBOmLNs6QVwtNCkruI9QCVycR3smuE5y447SYymyqg67uRLNiJA/RzMu9oBBgEZ+c4Wieewl+shfd90ONZ073DdCKqU4u1NB2sxnOezXBQ64KZiYSQMD+R5EseIdgdUgLKZlYr6Ws+ZQEQAtlgeKGuW2dHpCj3KE1MH6bCy2TXa4S3WsmcPrSOvg4reWBM2nJ5o3IAFMzbbqvmJINdXpFnAQ1zvYa1dW0+5NlbgTTK5sQErdB5/e4znVyWoGVFd3oDcF4vsF7zAfl6JlJh84dLGpH4LE5bkvpqTxJce0kHPKCsFMCA0/gjrHtkDqHTZXuXRDc5sFJXt26E2G7yOiQAYcamgsC4C2+mH59BEyTlYwYXTA8fhxNIRCh86gs9seM0grzqrjjTwHSgTZ7PHttHQfZ1J+X55ArEhTERuDbBSPOduggSa7w9mqhaiwu6r4QnDtCfu231J3xFAwTLCg3TwK3agTyZZpLD2OwKXSafDxaodjdeKIbJc3OxTK9ivLIMmZvS48iek+yrMAaicFeUiZNJ2Xcspidbeu0IIUFMW5yCZRXtwygZwGr5pm78DCBt9hoZfq5MlHky4MMqjz19JV0cSLNrnbY+pVubpZ8PgjgiX1bb2bNx3PcjfulTkKPReGqw684QyvRvfC1ybxZ2R1/L+NmjrdMUxgJZZbtlhTB4IzTCJSbdUJZJ1HPatkaIzpGsOMKbtIk8a37G5yerP9hP7saN8hDH/mYuuaAF6lpjg62MH1J6zRRUBE3nzexTfSzTvFGttgq1SAs6HlJCOr/DCUYcgpo6LApJqVjl0Hwzzy18sJIQYaOGIhuviF3L9VmonJCUdgDiK5Rvj7dc6z4Sgb6Y7bDJJa75nvRsFsIa0IlDcOzIgIi8qAf40GHUkX0NSwetHn5ukBa2hZHM40SEU1Z0UFk5eppAKKTHofR8TuGcsUNgr2PSWhrumZ0vihwaH/T4NmnTzZu1DLAp85eAFYt14RWI5JL2ai4S3dpzunTo8b4m8AUpq/OAFxx1O8JNob2uLfvJjJ1Tue5DJuIMlnvGxSfaeA9pkgD2J1Du90p7CHEpGC7m1qZfR5pBTcAYmR9TPa3i5k5OMY4g7IxYGZcMfshGrckwnUaa2dEi4vyWr9ScG97oO7yVFyJV2eD4tE3rxDNtBA9EJhjsYQADkhR+urFrAqPWVnHTTHnRqysUDaBVemZEWzKT8K7+IZQ6nUf1NhvyW5Neg3KBUeieqUbEye0Roc/kyJ6AoItc5/aI9Ii0GlVF0zGDGn3bDRyfJGAK7MRlKbB8U2ffBPhGaoHYE2vCy09dR73A04fMEceLPw08uqCpuNLUWlIuxVr/+KQHEnFTj+QxLd5IFRkQQsvkaNpeZAuB/hGO8g3CejHqBGCmADWGIYghrYFoANobL/uSwYR7D3YlxYUL8ZLfqGZM+oKh7uQBNY5daJ+uqT7Su1093qyxjDYoFuuRPaNzUh24p5RHkBN1ZN18sE8O9Z+zlF6gJohSazsGTkfuYWUtkiN4Uha5RSEE6QKgqqk0XhNjfaD7Bgefrn43Uzu+SIjKXbcqruYDg2399QU2v6G3e+aQ6pvxXc6SJUVIFK0lxKyFEF/ZNSYmopHE7TQ59qbe/YvIuZTbpbY2XryiANebUNaZYeZUKcU3c1y9CfeFk9aGreD4OFLwQOhn3fqMYTOSwhXAzapORsBlpmgVBGMthpQd+hKFtGVzN5AdQG/aJZEYgTFOFbEIcvCMGAcexm0cFzBcnwx1oNUirnHPalLIxYiCIfqpdaJlEkR1vztHFnxytFcCz56Paxlzddm7grTHaaR7pFr8GmP+KNEfyeS6t4Gn6K7rCMf1A1jgTY4RjvP0H88pUXobnQt4bJncNXSYSNxE8rl+jro4cqhVV4LwuBKP+wz4JRsUT9CcUF7b/LbWwGHKkK/8SukhS2Ax/QxPvGjXdJpTGAlCvjbVGAWGzalWowAX3RGW5QWvUd7X+qtXn2+7ViWecACBs6PtfCsVnOKsoZm9+6hknmhqo5mFNjF4reljLfrcBJskO9DGnJR6KN6ZesnDkYigp8flekAQK0PIzuJ99GieVhakBAYzFpiJ04epi0/io/ZNiLYdb5pYSBT9eJBKq6wJ89bdeXyt4rqKUO58iMeqbVriFuQxbAxhqQd7jreTbLXs/WrBTJUerrGiwec9rQN3rnra8EInnm8I/aBpKu28Iw+ZKloLNYtzTxLF7dduo7qvp+LoFpJ9+sC19bHp4KBl3l65ULphARMzw/kwWPqt0P3jBFukxPOyjpJUQIGX68B0pGG17a+R40l8oZ2IBM/PFMIMyUxJHHz74avXI9Uh/YxY0bm/8ehTHrzdHAvandSqNqRPKUYh9tVdx6iwJkAxqtr6ILlkWBiaPj7nGYmiXSfqM8lxGRlX7m3BCG1lOXCuDhiHWBj1spoZb/jh588Q6D+fRqT1lDivV8UgHJk33T4XG6s7XYIezrzKQQL2Ru1sqh8zCnuCQfDIFJtMWfkJzqGWrsXaGtd6ghl78/1ed3xzwG002y2G0BfqI0sJjVkyLputc2Lk3MQlo+7ME1YZTl/gjz+4D/wejDIu1s6180Lfucw9+NJWT9uEiToGVb4YPzAPVX+W7Pkdj/EhIyUps98hi/MaM/uhx/BtSUP6Or4137jBA/FduE0SNSmH8y3GCeUjaD/T+7Mat3nLMKYlAoVQu0RqEpIq2RunDzRiE7eF6Zv166AzhlXZWwz6HFhfjiMkNbMb7avs5drA54QRQi7KlmbgNM/bmQ+i9O5l2CFeGz3qCNzxcHN6SE5vlN9R0Wnp+FDjrQIEkwSYTnSInmE6FXkIIuIHaNmjyg6/9v7k1iqguE2LrjzDAYv1L4mt1NCMIHAyqpfVk6NKNMuFCdRzrUr8HSd25Vb3sw4yX+n7/o0EXmoByeRNAKBOLHhMvs9MjspY3FUem5+zy7AG8OeTTY+inExoAnV6zdt++HjBYr2nkPg8bXPKeaQnDookVUtZvcV9PXFvpdwPaSO45idB1QT5YnAxghKorlh0ENIsuR3ZcCkYnbOhjr4m4HBrIMxfaK22S2nb29uZwXCGaI/K43Hyct4Y0JssxDm6DemYJy1dtNc6UNQ7DlOw7ejeBsvsaBy0yVseCIPrYkn3sVqL6++T1gyvJSbPsW7PR4HaV/cpphc52vpLprUjAkYoQ9F2tNIQcTEAI2hPhsrbVb6jNodl46IzF4RXP6DJFyIz9Hvge/HF5xDef5aRUI9xhXKi307LXEGwCuwN2FRaxYaFSFKkmW6V3Gt69tyz9Z2n6pBBw03MOwA+dXLafRHdCqKE9qsVYgiB4zyEraQwXr6uU5Bn8pr3ToQwUelm25Vi04OBfFZmzCRn3UXxF+duzBn61nzZaLGLW9rZ26zLHL1AUe+xt5hE0H0m3ectkV5iBIf5F7duknxRt8Bhj5hhrfH+N25sCOELIVvnS1I0DykeuC8SuykzTluq++Wh8pv/Me40QD9nFWbyLx4yQdWP62GJP8YdDkUdVrzvi/i1ui1Q2srE2a03KSEvbOQWb05y9e4aHJr30rJfp11pcgAG6a26dQ1b1Zp8PtRX/czbOAMmHJcQkZY2GEVQuQpezgBIfLLkXlB/ENee41bJj4y/sRQlHwKsvm27lGmre60A5AQOnT/i9x4XijRjKTVK4hDXWOz7HfL8kKtxkLIEdPEtxEYY3krfku1oVojYRjD3pgcjipDjjDzGfAvbmNH0HvGgkmzXDs2adbEdvn2dN4NzN5UrQIAUqMGi5s5rkpxBR+gNXWLWnXzk7krCGE8/qXAQ2sb8JcG8LMhFk8IptXZxqkvnukiAAvA++vT08xG0Xf/p5rYDbt09Z/gAIgGZjAzqMuz7OX4WYwoSGLklYeURN6+T2z5r28AvQQKKHPlyL0AqiEwAIUpKpDH6wLZBWx+5nhImhrCn2o1xoy2VL9q0jXyxlMZk7XW4kwNtt0URjMOOnylGh55U2I1SEY7vDYbuOvZyzWm23V6KG1GJYZQh5Fd5NCPxGI6cBY1H2pAKviZYB6AqpKD5bd05bWh55NXAhza+7AgjoJZ0ykvT8qpVujzkU92uIRxguAjAUeOzA283plGf0Gf6HliR96ie9gzMq6sPqiwmLXzs3ItiJt039Z0qsgtZABAqERMTdqP+DAlKmxNR0zyTRm6WebHWQqpavz0+rUwueAZe19o4ez8fDstmN42RbhsDjkjS6xk26WD3PcJ9+wEhA/C39lUMYGuYt8YKwEurCOA5TGPiDdF+aHf/KdIpcR9PiWNyioqXw72Ga5to4ULUjPTXFuZTiC6hJjFx6yBvOms0wAOb6HPW1OocpN1F0DnBQToJ4xcgorNHOurDnxdgMGi8uvHIhcigtFa3aqc0O11DYtXGc8yBpFqwWIm6ryM66tdD5yWrmpwPohgY9DECG6aVG43xUJdGfh9smvZqhDTfKJZz3oo0o17ybfdCZ0Rzt5sgRGCUrQzEAjdpmkwUHPkbRAWYqLwiYkURjJjv0A5OGVc8mk8Dnpl4RrAhpknS5jGByPuQFCHtD+VD60gkqSzww0cUj1SNm71ov/B8u9b5NFw+bW9+LFNamKPSLwyfXDRpqfInt35h8U6v2k8MV93RQFX8B7yDcmPBDUmFd10Y80RGK1uD476/nqzHbd0VGV1HQedf/q0gN/+RDdOWHFy+Xyy4Hl0UlvQBrAJPM3IQY7t5emF6E4vO6eUVNYUQCo/XCGI0+elW9TAuuWQBx1FfDBFw3wAqfq4aT8kpvWynWAx2AsKPFaHDz2zmdmzUFujZHhXLsp7ntlXlbV46s61mrK2IeTLKWlI215LKEm4R+Hc/JFJ1YQSBk/xGnccah/IzZLPz1GdSqDfrIEBzEYvU6x9s9hFQ/kjlmAeVYb+yqWJ8nBsWGsgP234vxRNL3Nfp2In/DJG5IcIYZ4YgAss1aW8iLxrWa6cDgl0X9QXqRDwMqSz0ska/QWwaIWSRnvpAjT1CPa3P1K/J9V0qRhQePKqMRqObNGZzj5dciFGmLRDrtPZmcgDEO/yRvZntqdELQPcRO7wGVV9ecq2dKp6x1YRmwgc3SF4MbQ823Ia+WUZjZdA6IpSe1g5C0uhAcDW7cJCedIbhAEPsG+sZuaNFP2NUqWpYUs8xKhLesNn9CN76YDPWcjfCdLNkdaOPoeWbsbvY9UXBKWnWB9aSWTBuYuM0SKYeBF0Y7/LmvJSG62HyADzI3cySSc0C+JSo1OCldANlVUJcj60OslIA/HLj5Pphf1HiVFhgawtqRZ7ZrwuCuO8ifIvdSpaXGKnLLpQDpNyKNF3RVGANCw9ilk9i7yaxctNap30LtA/2qG7I9T4nwye5v36WOvDEe+C0Bz5ScmMvgUX+wN0EQ+O6cMUfuCsAwjgF6vf4Pa4W11mP7TsexfxhPq+3lt02Etw2Yt30mE9LncQVGN8/b1PvC3Emi2ZOK/hSvSLFNJciCxUZ6INOuzIChfOyhPUF3Ni17rG0QVcApihAmsUsiBkpXDOFqoSCKkhN1c7a6qvZeZ0HcwOkvYmBZdXraS9KsMRT3T4L7Hmy5hypZD+E5U0RUzZwtPw5dc2UkBGgfKIImyez44fPdugVa0Q7raWbO5AxMVlPsqeIyVBqEZSnj+37G2E/12G0PmKfI7FerT6GRkqHpxvNyZIOhttR1x4JkuqqatlpBgD0sHWmGfulr7mpGPx3idh6RmCI/RryawR9XWzStJZEQST7xnqabwLs7aepr69Z07mAfTctYN2otGOri3doeDsaYqxoYMHF9PO82w10VSDWQGNaA/pzWcn0eEAZ5WvEuuoRz6YVyR63BOiCUMp0WK/f4KCbAGCBnwjOBt2Ic+RAWn1XJurTYzoQlNLNGDrAPj+t8R4O07pA0qcBql2+O127j8exzIETD4o3exW4qkUQ5PMZaolMqSTQL/KkCAzgWW8bBovm9jG8l8Jofx7WlF41yvOsixCQjt3C761DjbMC64A/Tc9lzNsxwg57j5lR/yyoF69WfIwD54x9ufsJGtTXq+n4FcISJr3FC2gTbmXHMCe7dHQobXZ1dX8JaywWGCRofftarbSuuCiFhcbic5dvSHnFryH8MDI4pUnvd3s07WUSPXrg48O2ijPi8umlIMF3gvLSVLgp/i1hbPKJmyEJKSyQ6dwNxCgM25l+usULbMBkUE36s++WECeYrjqyR/U1WBFjF78ZSJruwTtma0n1+ZI5szmm6fJjfuj4xZuj0xk/dLi+NT7ta0q34N1e3RtvVFzQOkdikuDWobulzD7A0oqaW7sooUmx/+/9g+t/iMD+hxkdP38P/PdRzx8pGe95+Uv48+c1fwmC/v7Dyv/574R2/xMpEX+fV/JNRPjVbH+JuMZ/238cif9U129Wwp9Drb8FWX8LsP6Lqv3nsjX+VbrGf3Pl/nMpHP9OWst/Yf3+SzM7/vyS/2dndngjPvxDZsePg/88swMj//szO4qYQHMqRv6a2fHno39kdhQ5HWNIGn+Pov/0KPZHZsdfH/x3mR3xbQH/zz8v7C9XSn+98C/l/zVhY/823/QvLv678pXbLvPvg//Vz8J/5mkU76577/VQ/hwqv/0k+7dFJKo4+9tcl8PdPWk8LN15u7/f0zbusXP3EvwPmRpxt9ze31jvut41nv70o3IEgul/+94E/ciE+97943jxXqc/LVjxb3/7tsm//e23F/63v/1ozR/3/HqvnwtTzNV7Wm6b/FtyF/PnBRv+Vs933e9b/lLTnzd176H8/Z6f9Up/PP63q/7v/+v/W7JJ/s1qFMpfySY8OM/F/aVk/kg2STdku1VPzFwIcQIOt4cPvNGnDtw1vXRuuqd7Z9qbWNCwGqjgCBUqipGPZ8jXYdEoZl8uhqJSieWoBLnnpNhhUYcZvkPyhFcMLzX+dIm7ru7n42zJxKJT7Xmwlw/EZ3GUojVB8Bq+/wAAADmUKn9bGU5QWQkTaBAYTQqLaRDMF/CrpeMn7dpv+cfKbd8VYiyTRBaSqr5TZr+ttAMxLqvou5ilH+G3lWpYxra0xx+ryhDy3QwrJpua9/tKpS3PHL+Xb9R3IerK8Zd4n/y5ko3C7NpvK+RU/LtmGJssS+pwfyv7LoP/X1ZGKE+c3wE9bWorfD3yIO2foyd/2FKbhVbl1c01s0elhKevnrJInxkGbsPq9JMhNKuL+ips4AVIEEogxh4RyT3PcZaCMUId9nnrlkIajLR39B3RpTHpW6drlHjxyEzePdKgAXWyz6/ToRGRZBHaCOvn0iI9CJCeuM74hTKtxFlYGyBdnzHsc73e7ymw870YxTGSx1pLrToZrRcPTxyV4hy0B5rSE9ZsLHxtTpGCcQLpGMOLc7kP5QnSRGh4To6v94gOQdq50mEqCry9070z5kwj0+cDdin1mfZniyZdxHpd+wLbpCG+iVSyJlNnX4xLKxT9DK2vcBWXYRRXBBNPJ/Br+uOhraqpnfokoiB8tc3oIRKZBzChVAyAyCS+QXtBAl05rlI5s4olyw+hm/nL19/ix/eifH2nnfSgxw4JOCA/CZndiuHj59GUX/WloBR5dfrVexzZ6Vuyu/CmJ0R5ItY09MPqvpUM4YaQt9fVJ5JbJZnZsGOF/ATWqjQAhTQ/tiGkO50Ahd5U3lydQWflX7N4abVpC5bqLhAadgHHyeUjBOITokc8yQBCv+BywynzFps3oqXX+9KxlYvXYM3WfX2DT0LMzuz6vKdI80k/gPO9C+LWp0mHenpRy5TKmxO40M8Fo2L2QeiBUwLhwV3jEyc+ds8OVYHEzcOj4zwapDM/9QUH+Qg1y3XzDXw9jkgt0EwtRFqO1PyRwQRz0mesntSAudOCKDG6EWde8ZL+YHdW4U9MXempxNbrMxwTRa/EC4Gl41AV6cikyCfQYcsUQ6iT2zCVYHXrS5p0a1X0661f6KFfzXYAok/g1ZaDQX+CUwyHZB016GDkW5KtOaR1gLXPW+rnJrnqEslHe034FCcCeD1EM5IYlTkT9bsI1dqiDpHc4mg2N7yG+xNB5fs1HL6RMhJ8u8u6ROcame0Iif0hPECSdsSErZHHJhL9hSaydmOXehVH3fDhiXlW1Rdm+m5MvBqHHW0tKi9N4HPyN/6Rze64KmcB64luKcYYhax4NHF8gDU6AIJs5iruMxKzp8FL87OJHdK8Vqzz/R6g1ysxgj0Z9i65ih6kzQKnb5lycRcZxLdx9IGnQnlWslyabYGbbe+swECv58HunA9AR98CzO+luQAqhhh0j1wSpQbmm3M73P/EaH6xXXs6hXwG2oWH3mbIFIJQuaSw17xYMchxDkb0bVoIqzswpqTCAM0uWxyQYC+WHYsf0Lqc18QjuLHlIjU/yFcwsOFGPMVzKfSZ+LgLPi8SckjN6vU1DhdFNgSyc2JZLVV7EOAM+0lBAIMSScXpPkBuJxgTF6kYEyUOrFLQapMql3l3tnBtx4bPRv28uhx91yiteiCerUnha8RtSIt4ZAG5OZe8rIREHIlk75IzvPKOH6OAcrYq4FcDRP2IwSq8X8uFsZ05ybJX+svXUwrECFtMs0QL/sImzN4ZJacX2GP3n75d2odSftEkJH1+W6UNrW6Hv+CI9PKln1glFZzNVii6WkCr/fD5pZre/pxDA7cQf67QxjPZrsiImeaj+WvFboP5/2Gd+OrNFCB984MzAkHwURQA+HwDs1buZSo9OIuvvbIU+0tgKtl4srMsXTRgCmO9LZRWEqWEWRwfcbvDUTbXeLdfa0/q5HK47NU6yp+wVkjE3FeDaZTbNQq70CZ3sU3DclEOhm3AFctdCuXfuG6/ZkV+MG1gyJLIqXOtD5H4p+MNlqpuJ7tyn3Ceac1c8/K371/ns+v7xT9KkBQQSEb9oBXmmCk4xOEiTWn3/o/PHA/hW/C/FPkUWuePZ4f2Sj4Jn126z7J+FuY8PVMZzdihXymR+asjp+guPxouxPqlNCwqZZFFCUaEsWJhDYNurMqQfrLMS3nsw3DEGqYmQiEJJ/WjDF8CvQTxPNSTq77SNxv23GLfNVpLhW+bDEx3KfMZaY/i5/fPCXy4+S4Kfi81H5W9pUJr6EdSfgUJYp+ho1TGIjqaMf3xHsPmfNjv+6Dw40MjOPOzvdlSkQHhTJFyfTWlg7dnqCGSUfHtz++AVA1lv+F+QDwlmWyp1ak05SkuBlwoY3aucUHUPrrEWC/8KFj77TOPuSR9aYpI085JzuQTBNdiwmdwNzRyA7fKu/509f2JxYoGCBbgHGR77onx8S4zgdycBAI8Bk8TuxZ8bXoH9uWax2f1QFU04/RBzL33fX973WardDt0odin6s2ho4TbDGVs1/gHP7Z8RMn9B4IV3R9gIgk0it5exJEr2QfjiThGZzFV++TMqktZqTJVNLqaeTXs52wQzbSUOEfLb8szU2jH5FWgI0p5zPrseqftphDJCeNeVUd/nZHjPAIfflrfQSv0Qw6HUHTc5ACWdYLgGNDgmtshJ1YvGRS4paM3q1HW7eN89IjjJUIWDGmICWR8vwkaKzBcVOglVw9UHoEZm2ADwMfbTVNK1VYnrSQw0KcTTUAeq4yXGKeEhFJEMRrTqt+m/YSxXnLUCnzas1FIvuByAUwpTAFJ/fK2eMAKpWN4FpvswtK8YcjZUNljuEjqofqF+UqHVQ9fMTiJLpwrwu92Q1JEaEulJXxuijKh01/Go6OqMYc/JK0W6PwV02n3ayzZWvV9xgf/XFG8accTAPIe7UaK2LSCplYzBKBomoaKLm82DtqwHM5CwGyfw+LCVBMSjrR2+dYgxkEQRfl2YIUmVoCsPkBqc0W9l6H9SjNnzzcGUyTIaQ/L0zbz7UxHzgoaoH/9FP30ifhGZ4nV73r1qDhV8sr77uDgckqp4/IQYA5LeRJ7t3KsRRxUhlyWp/383l7Uc3nnF2RFb8f5pPoHbjHpdqHCB8NjZcyvsdtd9LvFOntX8iSLcrptfIur4SSaTSNwfzW4r82vAjEnDerXTvqYR0MiLBwLnHhWPuKOiRqiRTX7bctodITbVidLvGhBkivoCqthT/kC5OK+N7hvm4pz8vVpUyzNtPCIBYgY+HiJDPZrN9D8GtldNR7VhiVmJZhIiJjcJx9Yp6YHh2OrB6JxnG1WmkaEqcLtjdUPLrH5qrIfe3KUIXS3q2ULlWg42qFtAgHodVL0+Ye7zqM1gfdy/eY3r/ZWLupFCAg9eB840tRHKe3LH/3PbG0l86GYPI4n9vyzrw3wuZxvti3ECJHr6ppaD1OMEVNEzp0gM1DMda7IDRSNJ82urYD2Ocb5qxcJHXTSDcg7tVs/tI18k3f29rvt3X9Okaj90Kgz7DnVBs+goD2MajPo4X1cyVNmY5kN8eEe40oKndY/AMT9uZCPRwKG2uV5xnxM0bbPj4inb7Ed34x9bjaxVy5mI6j9+U/u7vYZ9+IHmh/IqjlKojKkW9WmcWMggmr+FeeWfb2Pf3pvvzeBl6Wvfqbn+ufrmsbFgBpHYU89D0Xt7x3w16Ui0IEt3gh7u/i8AZ1nudjhrPkU+/sft2/n3dYYtN9ts5RMPFlPS2gH7ZZGjZNA/iH5+Me+Hiy/j1HpYuf11dDCGqWbVGFxTcqnfJekIB5T+deXa9z+7m5zZ7ma8Yh9hxt8bnC1VP6tL1KucIRKXVl+FY02ZDhbr752Y+C930rMgHwvt37DXSc9k9vm+I11Pg9DcPkffsc4yeoHBsBAbY94fiEekudqqOvP2Whr7OEUK1Gl7A97THhV6LAlUuX0DA7k6cb0rXc53Ige30yoik5ObYDcNUIUNU0TLgBBCg2mW0KxglGSZU4DgOqjTuZQquYGMc/JeftxLNAzO0m2nbcqR1q24RB9hsiZrnbYuWj/IgrkKmR4qyf1vdh7zx/yANcx2q0bPqVNszn7IGLkhmstlYvwDtLdcxxpUZ0w+iT1tMJWPrNHRzwGFfUM+GXJNt17z7dCrN92mDZPXsHg1QkAqWce3dexRNw8THotywvJkfcbxlAK5/0YL8RNxYAWWvf6QJRwG/2G1J3VuXABNXRIns/A1mNNEwDh8Ht3x3KBfIFeGlDbtD+r4jIeugHH+pqdfLXONibdBPLmnikJNVYn0ybOWzisKLuxLTTwkE8YrpG3bYGnM8qOC6wvnWyVrSpUIzMJaPcH/mgKNmsvII5xhY9Ag3cj1cK5PD8xDaVhujjJzJMN+p3zeCinfpzBz4UQT7MiPicmlMrI3P2Mgo/y+QKK89GdMffNzwRpbfSk1UKQznaBnURsGmFJQItkGjSUQOv4RYDptrex2j4a+immKOB+zohXtVXSt6NIpVuTrgEVtEifqD6CvFHoma7TR7lRj3zkoBcj8DicH3h+iMRl4Z4S721ODi3cQd9cnWt5RSnXtDI36/Tn0cw0OfpoowPpmZ7RW8vsvon0GZOjj/NBhweYb2JSRylV4NQLCYxPCULy2O8cIhpScHutL1dXg0+Wxa5zl55JQKe8i6dwUyGaiph2zPv3ZGGopAKhGocM1EsRldobbHvAMJxbF5zQYiuCD57iEmGqoW9vgNEM91zeKLXljjBtEgW0vfsRdqzbhr55niUUOFSLSpDrYnoutDy35ZfvxBqE55pjuJCh39pDIBUis11nmnP1cz4sQeA5MMREpxiwl0A4zCEbcikowGWln+eisjeu2CT6KjoIwjMduBVi/tHaWyff9d2GUSeh/B4PN2luyu4AJT6n52LcbkpsUN6WbJVsrirR7yhh6jZta+wPLrFIypB/BIjniHelcjSX5uoy3YTaDl/8rYRtplLEffMkBfbC27E8ppU3xNglKDTxP8Hc7pamwvInqWA7sRAZXzkZTDzmBgzPp/IDMErJunYDJ5aBVPpJZL4uOeCpek21+ItcfOEZXy6QoPny6dKTv33qzcW0ndiUil057Ipgpq1CKRBHxqplhy8VfoZDmb1dNICv3cdsy922KEEU4ir7EpVP55P47jClgGD4KL+L1xnNrGOIOscxFbswMdD6rGDd0JCkUM8QNFu2hVxaJgA8v/OedbNz2vqKaoVR/KNnWfbDX2n8hKH3vsCMjEEiiPVI1RM7VXaN1eyBUYnDUnnSI9S1IhGj/nqFT/l1Y+Ir7pDw0Rp2bGnM3Ymf4RibIfQ3runc77T311e/5ii5qcltg31wyzu2Nen743OYqRC6hwo05p81V+/3ce1lINagXA1Hm/JKoHAXfuHHjROyFAssv9VLE0qu+lOn/DhnqRqy+/L9DG+Kco6/RR4f+ZsYc2vocQ8GvHkHpaK+0wk/+OA/wfGcjuD+1jvjnzTQz3IX8olZMeeHupcRaOHNYKRWuy4Ir8NM0lTHQn4lwPqKMQbjmp9vqugXDd8ovKt0HYp0bUTNGpP+7QPp/sf3wH0i72NtZw7N9vcnEGNAF31axeIJeGgxD1Zxm9f5DaLc8WYp9Z+Af7vX0IK+3lS1uPmPQz+04K3pRlJrbpzlo5ugHyHHW79xbPG+FYKkVEQydc8277MQy5oY5695gZ45+9c5r3FE8VWyQowf/+CwQ/iGn+2T5diy3hl7arGY87IBzqsng9+UlRWI5Bsj4PeulO0pO3Z7mokPFN14xArIr3P9z3PY/9pzMGkq6mkf+Yvd3s5i4sEEuPvqEBMPqaXN+YuFR61Vyvzti9idzsixDZ2Aap50B+aTQrY4t3NzgDgE4L56LABdwDdy6qxOBCMZPue3giRWd3+sVcgGrEqSWFY86cxPU24M9regYim7Qe3GubzmkyZxNovHKfP6+sYQ5tGkHrVUmNQWrHrQrHDjtjORclDSAwKRM+9+Eysdr/WbBWh0SI74Oj6nuE0YXjtwz+V8pjK2Bo4OjKDzvr+WUpCkAH+w3r6uwce5nlN6IPQI6LGSnkh/6DhIkWLIPuA3uFHtAzjtRqlkNP1yg5sn4SVmJ66h5cNelljxoUdnOOAPretowYRcaasj9z79q7hWfUbMg+qB8PGihkbWM90Oake9aUAIJRxqfQ3Bk5hvsh2GMBlvMkCD2ugLiWefgYUbjBt5vuABss1GSmCDPjt/30Qk4HqSUK7xLDZSzlAPwdzp+aN/QI98DVIzwUScGAhvzdARYu8dNlROD+b9BEnIWpP+RUoRlPNYWl+5Ow2t9LxGSe+2mCaoIr21mN4ylx/YIsLdWFVyik1+7cW5bYni5Btc3m14ievR759I7F/57i6b1H/XulOj86mTA6D4S5owHuhDLX7kG9XzgBqUR3zhcTLQ6/muCvjzJsi7zp6npPg5s4p4gvhlDej2gYk8NB6mtQoA1rcM4dVvyxRyddgqnbmBiRSYx4sr0ksgMFBcnO3Go0/N9WW4K/IqYdJP7uxMDb48Mrxhs810EgxdcTuULY0tmAmkDI5YzB86pwmhpXrcfJ1x912QOIOpzAzlmPl1ve2FF9vbnNyrcnnG+MGzu4BzJ/0IG3ohjGnRm1N3m1AbuGeJMQ37U9fa9c23uI/bTK3EvSi+8coKcxjmO3f0wcJV+MAMgVXvtmAsKnn7zG0Nd9WeqzDh8sp8Opm4xfB9FrthLxd25qs1n+tDrZ6LZaxyrEi7YD4IsdTSbxzPnqonYKvlc7SN1Urvs4buc1KlfbHm9gBVff9z+al+tCjzgh319gh7LfE8YyXKjXx+zbjJnDKD/WvOEX1Iv+YcxTjwhcJ9Nc0tH4/m/Usfjt3Yv7ugAGR6fy9+cro+/dDY3/RJG3AsUjHWespI1vrW75ryfo+9PJPKqqP5thNxf+o//HsMeOGDqISvf5+dxGqy6BZ3/8q/k13jx/Xxd3r1LvtJzhMrvpVoRrxgSGmfpFtDYqA9k4Rs2XdpqY2pAVR9qvlbK3/hqMNm2JTSXb2YGcFL/3cc+h2Txtwi8/Lx9A91IfmbfXpTSAWJO9UfE0uOt0qJn4xQ1JfHqEYjMeM/wlF/ez+bTB8N8oBvbqL9Nj+54tqQnkaUMkYHT4BoCebv+Bo8QtNx811KYUTXt1ci5Ncf34vgQvhkbfWry3RfSvyC2U06sYvF7K8JSC1uTnnDlUIoDjFFWwVMgInF61E9dHaJaWZBGQ1Fhy1IOY5NVln+KIlofEHnt/+K6B1sMTQJW7wRcK1RT0JuXtAPjQhGc2bG+/E9B/2aF+3meHn4x/yC1+8SinWrsqAUAj/mKpbmtd6DqIOYGw7LgYTBX3Nb7taIZZcwDVqGI7cXOGL+mOuabg85PnYlY3i1DBWALvCfbSKq2BEq/i7T2ONpzRKQ3cZ99/8T0R/Ea+YCizmxB1dsAeDe9hDMMxa589hvuK6ubguPjUpWG1Ung3Nlp7euAHZL/hJAyYEAzHyv0O9ONNPLxMh3Vvgo3cNWWv/gB2ZudJNPOSwtJn12+ikIGRAt7p0/KDHBlyJ0m1+5kugxqsJNWsdv8BWPbifi6MuwlOgV0QYxBhrVpLfGHAcVBPmAOIvKKMsX1u9fLFNTZUj7J0yAp+kAfi5PeOEQTo3n0mnjejKhjhirtXPMXDVKNBzL37k75vUMrCfDfzUeA9Sj3AQdhKAqMfrrmT64SjJ03ZVhLj+X0zDpFT66F9ttL4qW5uWiVJUWB99h8PIxOnolAwBEdZKUmVCNqc2N3RiTfbuLX/PTbZw/P9uoNGPOxllliX5GRYQ6O2WNoiSyIeLEO8vvqe9umk6zkr3WrcPtMp08iaNMdLSbK32exMmW3c2blnkmA/zTF+p4OxPU1p3hbV+1G3NT0zhm9YFlZaOGNzDO1AbTou8jtpEDFC56iNJfAOiQ4acPybUjwtRxBfTrx9VtESD0lk7rmX+8KV24Vyp+UiPsHzjFbeKlFssBZZJFqmljmdrqwZSed42hXDiHEKBN931hVguoDZ9EJh07StWTw28VjXAcW/mErZ70w3XIdPnAOaG8c19JDprLNwgpSyjvIRzYVd/XkuK1SoMNbFANO7hImvcoX/0JeRUXM+VYORZrMyrBuj/JETG7ZQ024ayodIk9j7lN/OOuN7ugy9vJFZsGnd7n/BRJt7hTEOn8eTxX+GKD6R6H02YJdMgyXcnYZBPWuhE4Sbp9uphUGKuVCl8oUfOCfBLOMf8t8wrPqBdgsLT+ucIhELHyxoXx2e7arVCewMUULrQLt23XrDOxIeuiuP+4HpDrjemtc29y8mYMl93PB1PJhQPT7+gtUDdosmdCCtlkneEB5o+vxnK8zI/fdV9wo7crD1Xn+x9awzjU3tM06WtjFYx/JoyIqb7fum00f+rRx16UL8fqKVk2pDx7+F11y+4RlkVJ7eRfdTUqfvAoWfjG9KqO/kxvIqKQz9qBowYZNlspz73YI8d6fHkCn92Vaat+e44ecz9mUdubE98+RK+c5n6MzAlFXnf0+nk/IxCJPwOoCPdj+NqntNyUbrIFrYKty6aG+cnmMZCxTkBYis1eW9zRmraPT+cPLf145LGVJ87CaFI4S4/D2NT+wVAvHulOS7irpfez2XGWBOyAq3AppR63+kUO4x5XiMIW8O1kbz1cxMFwYg5/PGcQezGqWd1C22Jp+fPAHzdz+frIEQlv3Sr1J2HxzE1SEq0bXsTW9wL/K3Ylac1Tw7Fb6AkPMahkTza6ED52649YRKh6ZZ4IBLXULJMQf8XZGrsl0o8+6aygMUHy4MFBDUC8Hu0j4DCRhXl9LwXhfL1bMZzFh3pr6hUZxd93yJygb0yVRCkXEn7lIgVfri6iyyP/bbfNJ/3NuclpUNR/23Fa/GqoV3az3M9vu31uds5U0lYcjvVrd7NXqoScEORQ9F9RnvYolekbLtrA2zV8EiqCKDQ6caSlFtifF5XWyTyKpj6lbn75AuKql8xNiVQ7OSnO+wDGAAePOLg1faU5/FKlWg88vNvB7yciVj/zocyHpcl6rV2pFkNna0T74yaL3z19w5BnUy6mi3KWULXLTB2V+7E0fO09sQtiUceBOQsorVZHBPKUK5U2YzYD4reCySaNbJVqzBAQK4S3/j6sh5RL9ip2etRcpPxBz+dN4Pl6dy8aQgOq7uGnTAdjGlz3oB3YsLfbr86jhjaMojpMmNsNrOmLHPRIUEcQTbS3AXvH7vgYnHDR61iZa6LxSc9yBVnq3qjAfa9luzgE7RCqAM39nZgq98qvNRhBAekJqOH2YzaPl5yLcpEO9xssUxje49zNastupqjg5SJ3pisRnCgFfBt5U9kpAtgjKWZgc4MChcsdSenBiFoxsejWvPtsJOOmPbXY35WPSs4Y1na9FsWp63pDCzxCQ31Az9sKbKkKEReA4CPSdkNEdiNJx7OZSBDmlO/PnZa7q1pvF3mjlcKHFjHhgiU2xU5vsjNO+ZC2Fz4gCu5Xef+uIdOmytC2KINph/I8C8qCGoa+9Adzml8cARLru507BMpKDQpkX7XNnq4RtbBXmmvVO5e4Q3hg6itN7Tm0TNIKb+quI5LzRPmVFCfdSd7P9sL8B12zir59qAAh87oCU9tunFE1rL4o2472lBpxZ3QL9ki53GTk1SoMEQl9WPH1Hl7T3HTtQ64wTHVt+D0oNjAszZ6z46z0IDMB0NmoKUDS0ZWOe9Pjhrbm1bo3grkBxpmC/g66x1srL+Y9kw/r0B6Alj1IX7v9Oz5fWCwcp3RyLf522Bmq6KT/3LSkuhkkYuOqy5Y/x2H1jWlYwHIg7fYzB6PEbg6mGLR2Q5/1cxzK0ePWMeaUZqO6/0rnEDSGczZH9CzhVy7i41UyCk+gUmxT/y97b7rkOJKkCb6KT8zITLcwI4j7yK6pXd73CZIgWVXiYgAMBIiTuEiwJEX2Nfb19knWDABPp4d7ZHpEdfZE/oh0GgA71NQ+VTVVU8sv+6sbdfQdTxwW82rlg9pTGG4xw4nTRntpPq0umj+4/d89XjvprNqLldkZL7mO7i748Xq5ZhsJK5ZnvUWphJSWSbmllbuEelBKETxyTIVlHY3vhyRSlNorn1iMQRnZGks1AaTDRinpLGyyPAi7B5Y6Lh04re2naCwUslCkKTGBbZ/rmSQ58O3GmIzLaatLdrdaKxm0db+sJ2qyIDqU7idC1Gv6I6R3rY7xWpI4dhjwJm9pkp3K5LhWLsNymVwAsoR9S0st9gEZwN6OUcrlLskdmsMZg/e/KboUpeWVxfoHN24GnXXd6TWPwE92xores7Vt2jHmHavS2HENcxUJ3UW1u/fdFrKZmFBczNvxnLIOsls+xlwwr3Smbm0sGd14B/gFZSuQY+c23ZdKo9XKAQR3HJLugSo7s0M1nCXeyhVXoNJptWreUG0AK2SGutUuCbt2d7G3ls1QGu96sa3tqO6xAyTFGOmT0NLHYsmeWSO5w1GHPRDrTgeQVFiT+tsljewjznJXbkNu9cChMRJH7W43FXVrrJgeqq6UGFFMjV3dkwLbRVOkHEbLpjBuibshz2wbFGggVb6C7CHd4KebOtPgGtu14o7ckPNrnhAhHXJcO2gzeh5Zw+piodc0GCougg1K6+p9ANKyMYnsZFOvrAXsC9AhU+La6XQyU7tTO1lwlpbAfhspbXDG+XWww3aupizJla0IkWuQ0bbd0Cf7Y5+ytHqlEW869Rn2axAiWWdXjD1vuLW13R0nVqlXI5D6kwZCv6cQJXe5ryZy3R8KShAMbRnbDkNlB4O+O+CSOlmL3L27DFo87y3C+v7QT8myeZwqyXTFh0eFY2CQTucTFccQu6BkcptNvt62hD1BurGTYPMmj31u12AF4VLixV6niNEWu3PUWzY4ip24uHV77yKdWgu4/q5WydfbWFpgvRYIZam/yWPK/jztLSq9UatcLtNJuezifzTyqJzr3XRqs+qYZw7Hcq+8H3c64SEI1FrHeHiY7SmMUhuiP/amFhm/PjEM7R/+48mA5saIfn2iOLQk/+M/05m3F2dT3jrzpqpeoOGTIEWG4eJASH424j0HQb585bjL24fdfn/zkQHc/LTHg47cH6f57h0Ji0Mrb3SG+SGd2eanZa768qHH1q6n+c99bG2zXh9fHFvLCh8fW2O5735sTScBxXAkz9wcW7spZR+Wcg9LLwmJ7yq+OTY2gCCMA3g5Y3bX3u0Zt/OJrcev32UmbgVe7L/y6l1u4poNwjBj63w2706xZcfXwHWmbnxwDWTHvjTomypOM6zkxzxDtErwDafo1RAnMj6vouzc2r8Sol/OwxsQfZqc/CbmN8Z5Q54vX5nPN0HoMs1PWcvZQdoPaP19R41zrvnQht93jPiOB393Dz4ScW+G8adGXIdhZi8QNy98jLgc8wMQl6ZpStOIO8S9KmUflnIPS68R96bi1/O137X1tVzxdx24ebUKgsfvvePiaP+vVRAifvby47QIDtUYrQP0szhgi8gZeu4v2WH4ECsXiOezs/Tn0/MKPl57c710WJwrvskm/58AgO+n5Q0Ann3TkMFVjoQvX5niN5HolWYxGL3a9HUCi1cafx/+/p7G8dHqr7X8PgD+HS1/V+i9GsCfG3ob3qH2AnqzwsfQyxPfEXr/8dsPQQAd2OENBHyNN9BgYxtXhSab4BkM734xqZ8unEO+k3UYlUc2HyQFcMc6IEIqBvWtLAPh5+xD9Dz2bQ/gZmao7R/DRb+9+o0UK46ZSQr0le2ESKbo5iYblBXtl1DaTkj+rsLbAeMGUPVhiCSMk4uj4jm1BLSJCaJ6PrxUnLHuthZ1N9nFMViIHc5faeNJZXNkTl89g9CJ8o92TTJe4TAOTMIQBlcVmnyvXfEBE4+LZ5dShw6oGPMWop/77AIHT0bXCw1UpgPHtNNToWzatgkcPEPQASYmzha9ty+KEYz836rnqCCMvrgwQm/hZDWOj3nqb0hlCKNYQ6O/dNjs0jOuN2EmIno3gLvYRKD3bMH0zNbnQj/w1MgLigeYnKeLou4XvDlbe8njBY80zP+zFzzzeMHT71zwFKVCjSAJ5b/Cgkdk8lRw4iAfbKCpHTKihTk73Y0ge4ombfeI2Xanp3jGT/UgRi7ezRi9H9G73ufrDz8jDhQ5BstfkcRg/OL1T++AjVcA4OurLbyA2osWv4JxX8Wpb4ecV5DtN9w/3/eC6DS7anSoxJGBZwpTA3U7IxVa1dt0zxoCMA6hvd8neuoSRLpRTdUzt27G7jAoBnrmJcTQ48BLTA13Ca3hgh3nV8W/YegBWnpaDAA1joiJbWbMcnlhPqYz+tyO7II+giAKHC3yNM/eoQ+ae4RMHEcxF/RB6yF6tkHs4mV09Q7JoYnJihE6xJgZSDJnYbuACmy9x0HxI4wC08+AA1k5kefgnhbwhTDGCZ+BqkI/6yGBZZNaVHoahyVw8fLdOP9NouMr7IUeYaLmBK30u9WpUllzVWw6m7jLEWrnbPQEEPM3wsTc8Mk34XIYvnDiM1K0sR18w47/eBUu5mE++c+ef352+2qGHNecfjv/J35/NP8i/cr8M9fSB80LYlfFtE0sRP75CS+Q58h7Dn0IMU/kAhCNAKfqS26bYAgye5D3+wo4/vlJiU0b9zPMbjDDM+viP57vq8+JWzz0ARrppUnTRWwV53L4RY0YUCPz8QO8luCjj84t6YjvDRUEWph3ITPegY14GH32t39+KthIQm1Dw8O9wp9qmQRD5UYU+eGv5TLwzS/FZzDBohW//wUxa/mmtJyQdwXIMkOSHMPtDZOh+nJ95JMQpp6mfE67kV7/rItVhaOF+dSfO7gjSS7F//apcqZ5A5ehZ5eSDtKFTqUtLNZPPwZQM8Hpx8KE+9PfUg51+c9//PYPPAMJEvumm/GdAyPDw8REQgcTUcvm4Jvwwws2wDWPhRj8NEgbWowwzgueJCz+0cx5mcD820mc4LUTmVGGOXVaECpPzdjVAB4fYhJs0Uo+nm0kqmGR2ayOTdxxbs6etr3fIUleYiqCALwn6e0vStArGHDd2xsBkKHDVwAor+EZqRrRXTVfAYxaXtm1qL6yAdyNZxjdO5xYkI6/2T3ACYagCeFKHCCyIW0y393KZy0jHYZ5spjs2Ecvw1MNAkmKBEv/dpmmfrav9UQ+TWLzmO0d5B3zBFJvCNcda5AxEFqmyN91TKRFluVolhG+0jHq3DHiCyvQ9MveiWhwNEnTLPeyd9SL3sUNveFf966pzwdMpcKk971jRI7kRZLm30U24ovIUeyj3okcxwk0+aB3zH3v/Iasw9ZN7zZhP+nJ3cHL3vEcIzIs9ZXeEefe5RrKTd9OYvu2S+x9lwJDUTnmukut1R6oy1XjXh9Bk0nQnMCL7+Mz4gvPCg+YDVVDIn4jGOGqd1Ku6KP5HAcYSlV4389Ceb3q57VeetPPDLpE1MoHke7UOfpF5357W+Znwq2oML+yOMwk08VCu7KmrgwynJryScU+l//9908RCK3PWMzhiIqHDz4bmaxEz2eoCK1atsw+5VXnwRfFv3+oVuq71Ep/l1qZ71Ir+11q5b5LrfwrtWZ70Jj7zssFaeYMK3JY/QfRxXg+e0GKNYft2cLuwolD21Ps+wNBhCXXkwHCJ/RB6NkmXkTaE7Dt/ArbACTQfoIHH7ohxFvUXpCFYETek+fCp70XWJnYz9ORolpPt3zn+9u2acGnEJkiTwa0/adspeMIEFBUlacq9nMTDNere4GTrcEnoHhx9DRCmqeCbwpHpk2Yv41XO8TBIocnpLNkUSIaSMMveICIdPkKzceMB11okUP8vzMJahnkoG7kd/vqgedk44UHpAXgDp4SKgfA3cCnKvXriKJOHve/f5rlZGnkZAn//umaEEMvQ5msr4G3Rwvv37LstGYQ5gWFC+DfC7Jnvg08+6jdbBRBnOtf51FcDWOW9RdPLkCaedGxTzcegBMffMp2QBwkOtCEoJ/T66GYYeZ7wByQ+XlzQuDWr/eVTvX2vTCH3fxnAwQuZkDcmOHtn/UAIm3+/F1uOvzjplNfr+e3X05jrV6GWgO2GtsZOxbuwpfTp17eKQgJonwikRJaTNd5ZPd0rV7RtY5M3vSpksAAEQtTBzzlpG7nE3NFYup1Es/Ot0VrHswpXEwVYpqbJhDLXLu2iun/RvpTX6P/haTVe/YxXdWO8XqjefoLQ/DstSPg66PLsCfIAEEt7r/WTUTrrCby5sbsX54UtIDVTKx+48DI9w2s9vrAKOYLJbA8yeT/fsAAcY3iDx5g/SszJ37hqY+YN1zPDxnWLSBoEC0LbMJ9+kts//UvtvnXhouz3Od3rGeLAo/8wbrZm8gEjvNlvosLlQ3JHQTAX55wRbNLFag3WAydYSL7CBSrXPWyzNlXAQIRqs3OZE3+EJuyuNyNHSyEMuBOr1rRsq6BC2pc4ZGSPiGBbeYBj+e6izibuwrfBNoLT1zxvIQFaCO3tq9km5TL1RMSoRb//un0FiIfviUgVBE+4o5lnoxH2Fi7wkYkMsZIZOB6ofY+WYOJkwA7zgNqz0IUV3MKPQqz6p4KD7mdfqzoOTh2NhDbIp3o0+8SRdeLL5u7qbe/ULmiaVhGnB6cYloVL4qQLnEtejIuuuXAnBdCH+temPVydaJYhA6SGAau4aT7oHIVIoVsRNGPpqpeuetomGkZiBsTMzTzHbez7PryxqTdSS9M40uPs4q/UUR9+epMXYhdfTyIE95J8wEmSfbom8Zzqet0q8ndEIsmCuDJmDFn3fyDosGPG/JbMFiHNjwBVRx5nzfQRfCCl8pLKMz5KNNeMw4ZUzRCb6jiLdwnMzppeQ4ELlrtemx/C9I0LjOCmN3EKIsaO2llRRBVMVcPlkaBpYWceYG7aDINL4J2+BrbP2L1xiusfuKSyqIxrbQaT6NT5e9Hqz/KKKfBZe1mQ/yX69LNj57AvOQ0fbqNj4uEZ3K9ZwKbb0wgXuajc9U/bvYejuxfPoGtC7Gapo21Iw6bvHymNFymq3h2vgcITVmG256LwOLKcN5DfKAiN5tD7L/I6snuEHk0V63Ki+YlGD3VrgT2e2cnN7LzOgpMCmH0vWT/+yl95di4M+mvBke/rAeTeQGD3JV+DrkYZkrdp5vAi5sGLzWNc/0r71TgYfffc74jkm9z2l5WD1WlaBxycd57xIEfeWOZy+PSUP4Xe/6Lw/6LMHaQWpx7FEFonZ1AeejHBj5DhAqoIhwTl22dPGO6uvkbquebUHvGciUPbPQQZZ4d040j3DiNSvCmx6WEJL9w5+gd7VQ3DnlBfz0rEK0z+HyOjuHvX33OPDYFTbK2cPWK51nPienZp43ZwguERdpziJ1JWojqjvYQfXAzKJIonLbPj3z1aOnjra4iEmQ8I/ONZlR6PJcWFQk4lGUXQ1eF+QQgOMSKfQzsU1t/+wfeLR7PqNdr4d5fC/0htTCv10JS76+G/Uo1xHuruV9cr1ZJ3RL70xhRNHuGpmxMX/7uUFc/etc/Rjc/6OvvL08edxW3ljWT15J/kVeSN5K3+49zOMDza5Evt2sHIaqPcA5Hgz1HpgMvO7ekSBHidWDO88toIAxSeczPa57TE8GenTx664QK2ZScgOHqB1cEJ2aLLPI2EEmOoHBw5shy+upz8cHnC9C8uqJwbXgHMxtvXvXVWEmGFwg8VgOCIFIgyHAnDy8AuO9ZlTx6iVZo5TPLQvYzw4vEZwB07TMD0fe6CiCn4Vk4A0MhnSiC4p6wAAq/HOzw8KnwCJ2bOhOc4gWKZjBFvzp95/rzTnGcSAsi+xnoEOCuqJ9FnWA/i6JO8ryqaBTEDPLGHH1tiq9aPItRXILR8Lc3v8VhDI6DBAriON0Gm/Oqu/OrnR0FhWvg2QAhDtvjRAaqikISqg5JQLMEo4o6pekMobA6AQiO1EiNEkSF4EWegIKKnmg8LfAcSxIareYRAzbq7IfViGfoItj/Wci/cxRQrjacfp7kdP4r14nyv1GfrPAcPooogjsn0LRO8CSNuggVoKkaqXMEx2oMmkYSsAqlkCIqArRK8DzBcp+wPqZmYj6PRgHZvgXWqN3PeEVk7CUSAssyJElir6mWBXXhMK3zGrh5jngPWQv3zwhKZH/Jwyqf85ibLLLrn7+PHfO1fI5qeKkf/HLGCRwfkTd7uxpFmocCqzKfVYYSPzOsqqI2OeWzqguiqumapgpMBnaY5c8xrnmcBPo8d9tiTQr4Zo4/eVziPx/GPD7yAtP3sbsZGws8zV35/S/K0W2E5k9H7U9H7U9H7U9H7U9H7U9H7U9H7U9H7U9H7U9H7U9H7U9H7U9H7U9H7U9H7U9H7U9H7U9H7U9H7U9H7U9H7U9H7U9H7U9H7U9H7U9H7U9H7bc7ak9Otx1jvOJ0o3463f68TreHjiyOY5hvd2SdXE7YnYKaRJZy6sVYCy78SrkDqlCGngqLu/AvXTm5sPYfPnnIjsPGj4GUy8+5SePDwPS0L0+F12FsJl6UbceGuJFcN8squvTlf4VPp6RS4Zenio4V37PzC796VckvWXdxRpRTXeAJZy6BWQ6EU+68z3mWpqtqv+7vqmFdr9D+lfTJhu4mMl4lnZn5/1SI9dQrytxuUz5Bx7e9FMLwfxU0+/LUhteePuzPwM0W21+Xz/N+ZLTN8mMieM5JnFuNeXYHbLOgDqV5Y+i9tPD1veUUQ+pbtgfXB8qtzf/GpvjlG2ScQDSIk+2IK7zM0MlkOQWIfIed/mu/F248S3SxyDZQ3z+c/P1/+VCudqincIO3GYqOoeVZG82Hs+8yonx5m8d85z23dL7H6Oq3E5X3ASNPYRfnfX6/u/BuNC/8htf7FUW80sf5CK82yvcRq/m3Jv3Lvcmz3/Wqx4Xr5O+YHNeO8Kc4PIFdtitxfg/z9o3HHNc8toGaP0zD3Dca5Qs0vHp8BS/3b+ac8i3bmzee5uApyNLOnDbuHqPkFdIh4LfcYm/8tG2knqvJN8UgUI2zJ+AK7N7yRSM78qPhjPqxGFCt3o7mI+HsRw+ldjuUC5ZJ88F3GcwtkqFf39u1jLvxAThG/ZfBMeqP49gAr/RXgezvGeRMc6z4IyB2HQGRbWEXOy2IcRqFsvataHbygV8Hfl3h2UkHfNLi4OzafqksP4C42g3E0R8NcfSPxYVa9XY0HwlxP3ootduhXEFcBj4fP5gfAnG1+u2wPgDi6P8yEEf/cYg7AcxXUC7DpD+Cb9cxGDd7yJhvzlCkpLlm9U6oCyF8ENz6COOUwLOg+4TN4VMbb0VgjGfMRyMb82PhoF69HU0efPnNA7r57F8+ptrtmD4SrX/0UOq3Q/lYhfTRYG7ROm/l44fVuB3W22j9xgDvxvLhaP1WrONHojXz+9D66Rvh+k5pzVdweFvNH4b0m3lmn/LIgm9E7kuQzSPU3htege2IY9FM16EKnXdEFAUfC9vsj8WFRu0RYV8OiHgrZK748LsNh3hnSGCj/rEDKuJRXxnRKSz1+w7pjvl/vxj6l3Nb83YkH2szPBrMD7EZGq3bYX2AFGL/y0gh9sdIoXYWuflCxHxFUOULvBBUteLcaC4piqAzJDuKyKM8Ku5egFyLiPfHjF3IdG1E/s5wscshnLM9+CBc7KFbP3eb3rn1gUKyhMZQhKaxisCSrCaynKYpBKR5kmQ5laVZkdcoCAUS6JoANEUlWEogKA0gKuOTvHdu/T9c45Vbf0v6NeGxW5994RmmGJKiCf5Vz3B+NyFDKTrHsBrH5XfV/eOKVDTLi5TACPhmSOoFqViCFwALAeA1UhAojlFZgYSEQKk4LzVkRAawOqtrGqWLgOQ5HjL4Rl9GJQlWQcUvSaWilwiOFaDIELzCayIHBU5hVKDrjE4DhRNRQ4rGaDxL66hyVdB0hSVVjVEEDdH0hlS19ab/DaQSeI58i1SiwCg6rTMgv2HvEalonqVekkpVGJ3XKUqhAMkoPM0RKqFQnE5oJCVyiCV0NFcEByh8TQDHUqIoKoioHMGJjECSwktSCTTHCzxNUIpGERTF0ZBjIMdCjQUaq1I0y4j4RDhH0IouIgJxFEsovKIqtMZAlRZvSDXuVVbvJxVNEYLwJqlEkWcZiPjhVa7iGMQUL0hFI/bhRI1kKRIIqkagcXCkptMUo6sqGpyGxo1YCTCQpXlaI1ggQgU9gkCkVUoVX5KKJzROgDxa8wRahQKJOBAwpCIKtEBqNEmhmWFpCpKMTuk6zkZA8DytoLcJXVB5Qb8hFWrXej+pGJajiDdJpaHhqTxJvU4qkaQY4uUCZEmG0Uhd0AjIQVKkEZUgr/McVAUecSlPApLQORUKKmR5nqA4koAMrwC0TFmdoR5xFavSANGHVoEmQpImRZ0WFALxGId6yGi0SIucSlIapAGvUhpa5yTFC5DjERRT7A2pLF84vJ9UHEsLr0exnEilsyoaIaW+SioRIR4nvCSVSHOcBnUO4T5PajyhI9KIOmQ1IPIiS6mKCDlRVHnEYiSnK0AXOIFCxNJYNC8C/5JUiP8okkMcBIBCIO6E6G+eAYBVSYVH6xjyCB9pkiBZFS12FpGeUBhWR/PE45T9t1y1X2uV95MKoST3FqyLUACIrwlWeJ1USPDQLyWggmZeQBhMI0whWJ2GOsuoDGDQ/FCCTiLS6Soh0ApgOUQYjUXsQeHbKzlEXYTP9EtSiUi/4nWCIVkFTSGLphCtVE7nRZIloUJpKk9gicGRCPUQIwFKoDXUcw6tSSQhVf6aVJbQ44fvJhWLBCz91gIUoSgIjAqVV7mKJZAg5R4sQIqFDAF4gdGBzjAi0EmEuKqi8RrNaBAfouURTCEMUEVdFAHBMjwCK06laVyiPMAqQYE8L/Iq+p5XOcTpJJpIUgeoAK0/EdXO6RDJRV0kNYYhoKhCldRUFYkMUqBuuMrqMQp4TCriEakwR7xJKgDQBOoazK95fUQqRnhEKkZUkWJA0KKuo3o4iAZE6TTSexgSajrQkHwXSFpUEAYDiAavI/1HAIyIuZEUHulVAioVRF1lIE8ifQFRVdDRPCosBxD9OQINDnEjha8ZFRHdEGMJgorULxZAtPRFLUsl8y4movCdMN9EmcdM9JgyyDDXoCIQJEJUQgQA0BipIYPQHEIlE21IA4AqYk8k7DW0KiisuyKMhiJgBPhA4xQJxB46y7EsyyORiWokERGATiEGEhmVIxGXcWiNiRoq5AQV9RqRHZENzRFCxBsmWvis+/71xqCevc1EOkDYgnXBV0klIIn8EsURMpOqivRHihU5heTRxCClmaeR9opmlOApXhR0NBiOxvIEyXNS0QlOQOqhKKL18wDFeVbQNKQSqCKHFqjOcbSgigi1GVpFq4vjdIBgHKlRoqozrIqYFKoUQ2EtFsETgrsbUm3W6+P7SYUEnvgmit9cy/6QVCQSeOJLFEdKJAGRqGTQWAQRmRoUYBWRRBjE0SICCkQuQeUIBRJI+dcpqCOOoVjEGkBAyjX9gKugTqKXaKATKsNhyOaRiBMIyCMGQ1aMjgQcjfQMADVB10QVKDTO6ESrSLnBvE1fk6q4o/290ITWDfWWcn5//fUjUiErhnmpnKNJJwEr8GgZCISKlR4dQzTSzzlOpBgE7qxGAUHDyjsiHakyaIGySKLxuqCjFfVAN0DKI1ppyKIjeE0lkeLPcBAhhIB0ARERjFN4xJlIgUJWAAkpZLogA4HXeAoZgYqu3ERyF3cqPyIV+TOS+x3R0aLIvr7M3oyO3oPwyXTwXeA44QFOovC0x6cCcfCxARJ4ipbWnkLvSQdB/kp2btcFdhqa4TmW7dZv+uVp5uXpfW5joLPd+iz0GlxOn76MvsabI1ch0OppD+oSAp1dVf5WvDP9lG0KPd0dNco/vhCl5hUXD+JgQjsOIxhccsdk7152smpZuzebXpGH3nV8EFyf479sI11Hk6NR4Mt/4ZspfbJmnmapn2111s57tu/cYcw7HRWf/8A45bzf2RZ2nlroYe/fiKnIe1/MdbFD/4e24t+XE+c6cKqgP97T+wNDiE7ff5+eX23lRnshEd7aypWgjbeUs+WLb/f0AxMvq2yrNj+K+WSi9RGcDyRko8g2WZtZCq5L4QUI8jEWPsDrSIxi0dVynk/Rkvm3r2Rp+fdTkqbI87/8pYyaPGdtybkhT9py2bBFbSA8ug+pvayw05I9fAYHM7xUWfey2ThVBJ5suIGudnkh308uuoKe6tnUucWZhXOHzucWQh+qWdbAIqVJ8dZVfExWc9mz//oNHtHrNZWBi4lv5ftw4IIH4Jju6QT8DWR9Q3Dynwmtqt+MVu/q/S1a/VuN/rVH//sfQ61vj0V+33je9I0+HhHza4/5gyN6r0v0OhD5u46J/bXH/qgxNb5Burxvwfxh6fJODmve9xz7PnPY/NY+v0i9AS4VfQcP579eLF6BN05VlIHqID/ehn8XMhIj7+8SkPVCjL2Uewb6dfSy8yuZADznJ8vpfS9Q8ScF2H9nSfgNQvAK2vpYStVeF382fn4n8i7ffE1fLxK7/HIJIgrPOd5uU8DgEpK8zp5igPw9A1UB8fHFi+7/VrT7n0lm1n6IzKzTv9bJHyM0a98sNH/PgJr0r80fNaAXEvM/N0ZfOv5nE4s/SLo8fdX8yZVzjHkXrAqjbPJQ5S9sn6KqnDI32F3Uq+QJjDGuZRKsXeBZno7rLcl0agBnkjrXd2KaU19ukyAWU4Ux1NSgG2GxEeZ7T/hxPrIA4p0p9PQ6XOgDxdE3xfXk9tM1M/7OmB7uRUwP+d6Ynnyz726DF1KCAGmgMpQCeMALrMAAlRAFndJURuE0Qld0kWZIABlRZTVNYymFImiFpLTMt/5gL/yP1vhbluY/QSsBKKZtRlm2qVPiyVMqp5xicV6g2l6Y/6VBLVaLvE5/w4m7QBiiKdOKn7Fre6pV/CiSRT2bOEusC6NzJqgs1QzOnXLGm08qsE0/T2lzui3g12LX+fl063u+fRrm1y5cXS+ggEjFB0nO4IPWIY7wwoiIE9qgcse/ZLUReBLHM7ix8xxGaIFjZjmlbIn+QM00TZMMw7+s+bQr/AeqZR9U++ptB+9qB339bGqHbFIftInDR8iXbd5mePmQhtA/3KsNFTFnf7whHI/GY6/eaw3lEVsf0pAgkg+m6zbe6SMaoin6ESPfRgt9REMMR2DX1WsN5bE2H9EQx3IM+3pDeaTKRzTE8yTxOjMUcR4f0BAO4MEO0tcayqMkvq0h8mFDFEMJ4usN5Z70jxgRQ5PE6+xd+KE/oiGO5anXmaHw4n5EQwJJfAXrCh/oh2CdyNMvmCFLTYe0UHyrR5jnfLu+8AgJRTXzFhYC6krFuZScMwxdX5F0eXy+JulrdRRW+/l3cWXSJwNpgJ9+O4mxGxdwHu0cFooDieNUgLaNw+yGkowIl5GcfJ9OMU78+4HHlCZonNpyE3gxItwnCWbKxhP9NINZlg/TNSMTpyG8ux+IEfLEdMFZO/n0Fz9Tq8+0ybMWI8sjwrqzg/T0kwV1Stj0hAb/OXNYfvmLEjyV//r34O/u5a+hh7789S9lP/uVPUNWRPZ3lIWxYy3pyff8z7GPFHVX8/bhyYjAWqHpxtiKQN1oHFSciQl3r4rUoNtvsq4pOEMc3rnQkP6Nfhk4oS9ANpOB/cLZe/l+zaX5xsHPjQ08ROypRj8zV4+Bde4sdTzWvc0IdSpLIv8Uoz7Z2I8bPKlxEHpB0Sy+5ULzYjSrn8PMvQyCALWH++s+aQHYFCZDVkmRRV2DIU4MivqmRcala38pn0iEf/h//Z+uEvr/cUND/68dfJHNU6GR4vz30MaZDfBE/Hr36l/QFHvu5q+YbH8pFz9+fVqYEH2AOPhyL4yKhhVm/VIDUzmZb0hd9VQzy82N6/+Cq8+Y3TFzlfOSuS/MOBjrs8iyyv7Gyb2L9ZGZALYZPqNnmGTP+CYvU4XPcWCfmB0/DlEvVKhlWQCL0sjMLgX7Pd96qAcGTlgYxg4Mni2Ynp/kVWWa929YLd+Y7jlTJ8IQP7PDs+yf2QJRkPVinRVyiC/xwek7T+r4eYnjNY3sM2T2ZCkZkeQUOFJgkPjEga74ieegxfhcVBueq0TolnX/bAvkOjzOlJtntM3SL+JrzYgvOAq9SAAZ+9hEvtF9Se63/N3M9MrsA8+O87FlH2UIl1WKJ+XSk39+en7OePT5GQfqdIStpunxWl+KFRyhc/Mbz7yb5+LMEzZeP8zB8fmU4/e/N7P/UHG+BC4PCIKuCQR+gDAPY5irvXj428VofYFuYbYbgUbP3NiXBLYrCKxKiDdY/7dbxf9OPb9Tou9U3TuF9E5tvFPu7lSwO0XpTp25UzruVIM7AX4nZv9xxVNnVgI23juPDMdUM0sVBGaWha/IiXoL+5lc+e1Eyiu+xLxfzPAmzuYYR25RlAoIVaFBFjqJo9JPoifngCgOVpNNzmEBtoHzcm08qWyOOLkqQPUnmQ194hlqCWjz/AUS9ugRKXIEVhAcnBwPM8y5MmZKqccZXbH8+8eXL7OMoqjvz7k9jG3uXKj+7Z9nNYQi8ErN8lEjyLhKoIqWECUKWUrak+V8ZQnj8yJXlu+dGA5Txzc8Fw8Opl1DaanmyOx25scOOTS74hdUaK2WU6Oz9fmOO2SVZdVTKJZdUiKptYaJIi90rSUGa5nBH9pw7nsrC/HYXPQly15AyzrMHLs3ktjsmTwbSmprGin1qr2gDoEk+wlYDOeg3QRTshutm9OevLDnM7faBUvNl2cddiAP45lzMBZk059Rdk+yxLbaivD708Vi0VKcxW4u24MJ4R1Wx64M5eYS/R6Dud+bLxaMRDZDybGnC0dI5zKbAHk97btGY2V51JKy6JXcOcxbC2a9nIZScxHLs2q8sJvj4bbpLmTRU+q2icZgDha+2583zH6te4QyuQctMYYLMdGW061CkfaSXqRKrcN1HIPQ2tXjyBSS1bK67zsku5an5IpqEgrdiVeUGPXpCy37dDVR6amu0gtTke2jStmJgoiP2iGBPMF07Y5avrVurcmBbRgDysJ9IFVqkZ6eT+aH3sTumpOFR01cz9QnX5RWd8cNJmTNiszOuLENmiNxP+8bXbnWWDPPTIPSp3Mx7lkMxrMTI5xFVoSzbHyFLYwVPfU1xyagbFudrWdKM2O3bk0dbdZdrWZDv2PuTTRUUnWH9u0wppP5vOnC7eQ9wzjUlS73bPJAIcfwACO7PXdXhLuYjDhyM/cMW1SGpkKuN58rj4aRSdxPRhT54a/lMvD9L06Kd7gAUs+/oDfKpy/KSM9FaHJWDj49QvFxgNFAhU+T2Dx+ym65DGEY5trwPTzkyYfzezAxCO6aZLyaknEtsy1ivO16eZplD+5NmIl4+vK1rMU4S/JrSZLxs08vskDfGA/3O0lF9uIbKfNCMjE8w93fzynQLElzBEVQV/dzvgrkhTWQJ0x9IbqxRoOq1k0V6RBpvg95Skr/KUvS/QnvVZ7uHSWu7alcPULiGwYusBG0Zkbcp2tzBqEiMinO4ubSid9u/RK/FXri1ebxp5ubAzLL8MqBkV8fcCXQ8stoH4shqBEkoWSn+/D9Adh3iB5mt7FisbRTitrvNJNCwBX9K76C8HP2IZ5z3/YAbmaG2sav+AFMTO8SjuojPd8MDXhWMkGgGmZy9RvfKgbOHILNYLxoJgXbfPrlTiI/2Ca84aJCOXnERTz9fzYXsY+5iHonFzGkrjL4UCL1X4mLznvA11x00mkfcZHwPbHo4bnlXx6Usg9LuYelPFZ8H1Wc2UtFuPgnPgsxf9DQzVsk9fg17vY1inn8Gn/7Gs1mez+XAmSDT6EOA+iqLxNjv5pZ9pdLpug8PiO72EZHDHK50Ob/KmzxH7BGi9vDLzP8Cu2vXMdXS7jwfP+3p9ypmg2Ff3FrD3t9Vc/rE3cOkbtpouMWe3ZfrhvRYZ62HLhPJPU7GuT+QIMU8zsa5P9AgzT7RoNfw9WriXtpTz5CzptuXyHnaWsw55VvRVAHfnbUHw2XJ0/WDVwWNv9DuBS+O1ze5C44w+VdRoNHpdzD0gtc3lV8A13/g/yFp7kvLHvmzbsGb9+mfiEZ9gv5ytvci7cphv9CE4/fvgPR/8H9gmzwLwTxe7GUusXSLBBjX2RSuQ2Cu05obbpPQy/JkqT8y7H15US9BxauB2eGeRxf8OUr8/k2YF9XiYPpTxTC9Z954JUm3o2fd/22vf2r3X43RL5S54ei4E3P/twoeHKz36BgsdX5CAXx8fPvjYK3aUl+eVDKPizlHpZeoeBtxTfYMzBd10S4AgHe4P/tcaM3X1QCG7rwqYlYxnr8wR0Y9iF8aoPHr94h4SwAavo0iDUQ/14spO+x0LxOJPg45Pfu+OO/Hg1fTNjbwJW+MjYE+sC2Lxe9fPnKJL8HZ8zgkl4Xh8ZmQJOrZLn38a2W3o2Sf7ild2PnN7X07Yj6ukF+090/N6CewoluALVwFj0AVJb4nns5D5MX/fKglH1Yyj0svQLU24pvIExK7QSnAawDRPjowpi3rd4CZKyaAJ8rCbz08Qd3iFoLgLl5kiKIMOfxB3e42gX4CEs1DiI0ib8TWJl3ASteOq/h6n8ujfPFHL6BsWsYeFdDCa+HCxzsYP7yldl+Jwyd1c1zQ5lli4PhL8290s63AOsfaedbYPW97XwoqF539s8NqqfQyRtQLVzuD0FV/P6gepvm7JcHpezDUu5h6RWo3lb8SC8EmV74uMl36Ki3vXkXat929eaTahogdGx5Djz+Xkhlf4eumuc5vbnh4JTq9F+PqS+m8G291Txd1V4gajHaL1+Z5zexZ4SVtjDPgZJvCpyuk7/NDPs6Z3zfJt6HoO9u4kPB87qff27wPIWD34BnEaD0CDzJ7w6e94kPf3lQyj4s5R6WnsHzvuIboBoHHj6Uc3XK+MSV9y3f7gxk54kfv3qHntnxy4LTHr5/B51FfvQ71MRZkrIgTjk7WHZ1ggxqV6hZjEYCiOoIP7NjY//f//P/hk9/gc5f8zNzfymjPzM0/Lubh4WazuYpDNT//fdsIn81HbCBZd/d/IcCQsgxv5iL6mi6J3qtjVdB/w2ludGYb9Bf0EL/NHa1ygqXH8KdOUT/31QadmOymDLLmNISSrCm+q5NCW2hoqyMTt+2jvTInfDBJmrAmr+KS5xgpHHbbFr1gTUMmsJAhuvtvKVQ1f66tmuQdb+1HWrNrrTvdUCjVhNVxav2wdZMlb0mlg+LxXjG+5wvlmjf8fmdn8p9H+iwlLTnVHnpR/yOB7HLkevmcLTkGWalh8eZrrvdVUhpoj8uU+MyPRa7x6Qy0Nlxt15PhKXoD6rGoAmdeGTqkYFG1alUqrVBOttXe1OxPRMEnps5Nl9f2+OJ7qwkp2Fvurv2eg6AGKsiX26MrAp92NI+MZ8PFi1LrJam1d10upsobXkK3LEjHHhR9dvlUgmq8orr7vJGEBGXk644TkQiBENzOV14rnQg6p3OpFKpNTr1il6xO1bn0Dny6rhXJWr5d9WJtKlND9sGmp1G9m5fkitSHxIrbiPjeisTo1LptlvVtPi70om6q2on4qfbXXWVV9OoVCx11T79XTEJe9Mw6ag18pqbSVE3amej/gvbMeRobwslKC8p1e1KulKtHkSLKyVBbZ9s0/UAIZq7lpfrvdqtIWOLiJR67I0qM2cq10ypIrQ2VOzLvfJyJx7Hqs0sfHLfGTboSk2WD+44oXlKU2QyHjYjQbYQ3witJqUt5UVELhAmVjvDkuesh0y1Yvalfam1j3qLPskJo5IsS5YLK405HfY6jdRbSqZaKsMEVbvm1MPAorpiJ1z2+b5Y1onQHzPj9vbY4aOUtY4kJ7a285mj8+LInTHt1ZYIW55UMavzTXeglQarRm+zmdfkeZvmmdVyzcK1pbUNhjo4POxsqUAw2v7BThvbelRDcxBLDX02q1PV3q7Nsd3hOIxLpVLKHhtg0XCrvbXp1vtw5qqKUNLHQmm09fhWzSwpA0Mx9LKbspKpTXsizYuMBlMFydmtuWjH61p/R+i7ptQm9aTjOWk6NEldC+Z60prux/1UiLZDiV10mqVI6vf0jrLwRLFP9auTibzZV8xkuhWnNdqd9Ko9fzRng+k+tgwwta1RQ5PFpM+JvqNVWELvNamNQzSIeDnddlNu3m1Su+WRS/ukVQ0ru3VExVGcTPhGv9sssb1le8boXV5d7YRZT+rzS7nGdyQm6NG1ZOCszaPDNIlFrdPZVDoG1TDnU63brDiEydTE2oDviv2m2ZyNmsxCGXWCTdBLw+1AinrN2ihMo3ZP7Jpdpqt25Q2wJLbF1tpTpd2SPWkrBQHdpCZSmTaZocJMaQHstsf5vGbWJ6UKmrmKvUi0g970iHSwE6ZLM+k1j93F9NgfMptDBUh6SFdayyHhmURYhkjAJzNKnadubYM4eaGWmF15VE5MuNS3G7J6hEugoVWhaZPSpryeNyZ2CTrmTFqrJV2ft3bQWStTbmY7yqrMQ4Ym0Aqaohmj90faLymiuvMbcbxj4/6YXKcjdT6Iks6iIQSbtNqsWBvCdKmeQ4Haqrk229I6HptTsdbrRo06qRCGOiofPI30LNS5Ub1keeL+oJQYkpKGnLWZ15WaVJcUKBjcVqUr7qIRm4anm4PwyE01PVwmDktVRqClilbK9XxxkvbZjk1Q0eww9nexK0pwsZzpcpv0baLRNKyKtyU6iQo1uTSfNKlp341ncXrk+n0m4i2hO6O9Pt0ou9OhJ47LSpNul3iZqQ4hxURAmiYj/eALpc5wojciRRfWerQgojTSy3FcpmsgZKsDqjcvl/orTen3wGDFDbRZaTUB1UZ12veb7ry5oCx5E1hGHwg7SK3Xol3aJwmykYx+mSTteMtzcX/OH0ojo2nCdbNPJlvKZ4/9JKSpdH8QGyBluq3tWqKGpVZia5w5Ix1pJu3DZblvH0tJeSPr4ybtB4GiyeTEoTeNxshmgprVrRgZuG68Wq8i9aK9Nd0U2F+ZbNGaaq8EsjtHYJq9N51Xq1W/KTHSZF/J3xt1ppPebBuClZVhLnpv0/EqnR1dm8on+VKtjCu9jlY/ynZlkmOzUZ005jVroRhI+jSK94z2qtft1PegDji7F4h6v5SQpaTpTxtn/K7UHARhan0TdpUmUYa7yTJd+aPJ3jg9b7TMVmU41o5LtDr2mayYbBrVqOIZhLKaWjfvIV6vN7XUmBTyeDhxNo3tcmptWmfZKa86nWF/qNYWy9MYJy2itl3tCH6gBgdRkRcx1bMQWXPZU9uA/QQ0Sq7ZTdY8pMNtZIowGWwpsay1HWGc8KOjlYxpYjGNhQW3nLqJyscrNiLZtClanbyN5h61sSWsVBtPd/R+utiWymX3yIruQVi2KaQRlHV4oKWliDDb6Vr9kDAY2F6l0o5wtuMS68rhilZm60krl5ldrTusdaR2OU0lfZ2GQa+/RlDYCc1+1A7FZE1FAVcaW55Z5kt8zMZIzlHDqYZM2ilT1u3DTqbl0sznSsoUasZsXS9oq1Y8CgnkRLJ3K7VdTQcmoNTeYegv2Um5PK7XldZw2zno0SBuUkBCy5IfRaNYjKu1A1sK1oeYcaUT7UxMO9lqE55LurOIDi04bscLIU5nUvOgLh39cDjx1XDvhMGOdQRHZVvGwl9wjXb9wA2m2nSgkTFXM8J8rkcbsJmvG/IOmEs4C73YcWesKE+jflpvxiNJKo0WoJiHDpqHw9U8tPE8mMR04LtrSmOBuHcXel8TB243XWwCd2n0oxExEg8HhXDLNL2ELNOFdmOaDCFwlZRVk+PSbfFpt5cxaaVWDYyuN+1Nmr576GlLtoSQq6Xtt/udVWInzqFb2Rc82jQIRNuuWDtW0p62OsCSvWYbCZxXijWJZN+8FkyX3rTS7LbP/NkcoDXuOGm3k5z0J68GqqbUEVuVNO7qIgxYnSyVKTCVG6NCp5psOrXWppOvr+HC4XR32emzo/myOVgBqXHSvSa1ml7R2irTI7u17Ds0Ls/oVvze2PS3lfO6H1WajZG/X/TO33anNfXQ9FvwQDTsuWSceLMzcSqjKlfrRBwd9EP/kJb60TZVO/aC1JZeeRi3tIZZF8tU+aRKmWZXDFJdOdDKSJ8sp/NivjpqZ1pd+PIqUqpNjyKSyljW+aOQdFKaqm+50cYTjrpl9WelUcSXfIMGAs2xmrzn2dqAaE7y8bDWZLOztvzKTgfrrUoNgz4p6sspWDk7jdbokJfJaJaup/1DpsuYLN9kI+e45oJjsNkvN3KSii3aJZvCvFbMZ1vqTBZAau7E+JD6Zck2ie2CXMtCSDDTblUklqDG+cKsxVqxTVLpcKRrzb5lz8QSNTmytXma03HVYBqeFxOAgx0Ek6ngbOr1mSbys4E39tW4lkDTHM+ah/kcLZd9Dp7D6rCyi9FycQVkHLCmMp0vdoCMEEIJlB2TTC2lQWnFB2uif1zl3/TrnWqv14saUtlhY6WkDB0TrMb1Dd9yt+RyrEBZKPclCgzb23K/I5NMTLA8PeLiES91kWUmt7F8qXTazU4VTcpoEXH+aGax6aDEHHqHcT/kWweCToRQ4jl3vGVKR8TdQeIPJHoIObNqx0tqN1RAnwDLeWOTz83cRCYhmDSd7aE83hJios/XC8OdoPVDzb3meHS2E3qzWmOyBHOStuuUQkbmrFnUkY2t6UWEFw7swK+f+JjDfDwKpUOVKWSh1y0PhXKy5xxBXLaVPXT5uV+b1neGG/ACKZZqMj9OCV2vgjkCjcl2YBDVA4TTbrSs9Kcq5fqRbHeiPgk30jQIYbLQQEfrxdxG8CtefYV0AY/ae8vxWf5RtpHLP7q0R7wnTlYbYufSaj0BBltucnutMTL4IPJXVrZcrTiI6JnI+VW9a9qsfEDWwdI7wDY4kKUR3ZqV+odDOt0iCzyQlsO14itN02LHx/J4KE69Hnto7g6wznJ9kmr15eaxhP4oZTJbkQg/trb9VpSmSU9Vy7FvlkNfD13SUlXRl2BZiaNlrz/SxWNUdygNjOw2arsPWE3s+S2akYNUmHJLM6RIX1p0W7FstcK4ydLUOoArM1HmhrLkIwDFY2xuHUIZsbNqyFCiZXOagHRZfeV3DtRYI/2eabqzBWvYTWEKpv2t58ZUdailjdax5AykZkuvtFnZpZpeHcn7Xs8mCGK+AGrbS+J5QKVlMFsNlpqwTueip7QOCRv5AOGNSMyGmiF0Dt2Yj2xG1g8lgyvotWg2Kas9CaccXFoszZC9MtKLB0I4WkhIiHJDX9FLEwnZ4m58aNW7bJSoRyBL5aBjjBlZOZamWEeSWUT6wQxMGiZSLyOFEl2aPh6PcGOHOyR6py2XiaYUNbNcKizBsZpY09lYX4SSwCVHruQGsCl6vjYUqKgxSPomk5ZW0SEZK+xIaDfLYyVuCk1fWm+czQrqZSNQw8GYXgrlGePoVarlufZYQ2AgrKtixMhjKtzK1IF0bFKbybOxEE4XyFwyXf+oHocIYEOFRIZTZ6ys12xpOG1n8o+gPYfuM0E6bsbOngmTreMiXaO+o5r+ZkiRdWM4IBhllnbZvixycOEonNXahyaQYlYbpaYZSEKnvU5Vvz9TWXGaTvlZqZzwpaVL19ZrYUaTgt49jE091oHujqP60vUnTIqUCQZ2t3qjedCWK7rUXnddhw+hJbNHnpcSxVaqnNLT5bW9hofSNPK7/UPK7aRKSDXgbEaIYwQxtb7cCzFItHXa7geVYdXe62OyTZmmrhhrerfLOuyZVqAepJAJY8LYVRpmizeb2jYqGX4wGVQ7Ae2NpyUamU5rNC3oE8aaDpE+VZf5BYIUEFTrFDXQatW6Px/0rMa+zzgaMw4GR6IrtaWFA3wK/b8PD1OOqOE9iP2AjNSufhjQR1teJzup0bKCUJyFjZElizuD7DRq6A9z3QeMpO+UpF0Lj/rcQXrXYg1chCeViCfr3qQz7ET8YC8v9laZoOHIXjulbmMGUnNPjgiJM2bkrj3ZTLjpmlp7MVJFyv5I0HuzpiB1HNK2fU/rRHStHcxH1Y5B1I7x8YBU32NZ0laU7PT3zjTadvtHVIPitMbyRq1N+7umq7lmL266pZA7DKLR0mgYigMWzpBsWVVmXI1mEkOWIru8ZMtrh1ra6mx0FMrH9bzq2i6i8MJqV6wJ15jADlk5CrNKGaTWQW+Y3Wi9BsAt9H5FUyQRRHXddyy26W3CndOk2K5ExrEcKVtRTbkyYwNZjdgxy67m0fpIc9xxOBcjKNFBMOlUOzJl0OR+VUYGhHhNn5jbzmjQ7uuDoNUS5iQQFrLmTXwlqBljKNKrKq10Dbo6MiobwkL2l7uFywU7i9WotA4IKljz6/WsdBxYybC/8zspx85sFi4boh4F1m5LL0DaX0QL2Ti2RkaVgHqNUHvsligtq6FQ1KHw8nUdtWPateK55wicLPBdKCLVXAk4zZ+MY9ETKYrUe5GvpkuJn0Zwr7eXAeRnSeSHThRZBLdx5xtu3N9Q8rRsj5Yaq7aOKc06yQxE5ci2x/wglQQijq0Nv0HLIxWS/uoQeaXheDzVah2t7wa6vjxQZWu8nDLCiiyt8P/j0sGtpWOpTDK9JJ2VBsuA3PUb22EwbrW2PXc7Uh3CZHc0UjCOu/GG8SXqSE2nPh/m2KUN1PqxLA5nW5bR44SlbL1UTrVVP9HphDBHNaKrHEaT1vo4mZTXbaU0qrolmz+o/mAp9oaGthyXgrLQU7YdVywzvZkZdeVmuPZX3NChjkjTAem6bJu1QBqglRMrznpGLfrDNrlX63VOL1shV94ycbsbSK4t9+VSs0kKKtZfOpp8iNTKKFLaEC5X7H5j2yMuIqbDrtFtqqXSlgmZVc8KbU4hY7Aug2PdUqS1o8izVgD6vaiTuksSYVyHTvXSQNpMhbW8sPlh4ntuvS+UdsGOi6eJLg5krOe4VUpDUqTeMsJWieuP20nGp4fSzuCHyrLKDntaLBqHXqTJDZeRpxt3zMoFtsZHplaXJupWgQ7N2SthR9j9vXlQkzAazwjGTmA/7Bkulza1iVJjZ52Mf5MGR80OzGGXmGS3vw85p6OY8r5Yu+01tYrCVgtBZi8CK7ERr2DbOOxm3WEXVPfdxshGdBK7RtB143o8nNtqEK6JmTSBta7fGewtYHQq3WacEKVVVRDk4YTAeNTK1lut73ODNKzO1iFZ8jtx3KKi45rniGqlW6US6dD2B8PVEQmNbs0bbraE3BwMB8ca3+u4exPJZVEAntMRm9OGSpQqUkcj8T8Hz/V5I6yVA2+8cDv+shuVKGRu7FKVQAjZGe4Nemo77qBaCbddwW5UF2DNuwPdX1UGpdgGztrpK1UD4+RKRWpd1RL62sykdpN9A7Ef9EtdJBzDNWMQ85GeMvZm0jU6i5qKRj3Yi0jhqO6H+5bHNVmhLiF1eLLWd8Bt+fGaUkWgtUjgQJtnBaV2HBzAajCkpsPOsMKvLYVe7DhWAv6K2TqH1bA6WlGtCjlrVbb7AU27B2rtiMFAXq4jJB8CuJNcqS/3nYgm4o5JBOaa0l2mFPUdJbKqsyhocENpoB+ryXjTAqXenEhqR25lxv58M9yOji6/6Ki940DsU3WpGa+3mtudGk5aDVQ1jGQrGMwjY7+lCa05dQNlMFria3TsKb90yhN3Ea73PatbHQVzhAEzfdnhl8fhhoJCz2Ki2qykmBtzSpoj0JoNAwKug5CY08OwNUUG6L41Ig0yTsjQ5coKJcsUOY+E1O4bkEeKAFSU9WTBtsQtp3X7a2o7LtHuMgTEcEV0sH41JHxySMeguqorzWM6WZYb6XgwWx1DtkRKWDCOJVGlRtNKMDKlSqm9JzuqJMKkntg24adMdTcLR+4CIbMd0DLD9gV9dLRYW/NibgHk1paIAk32TDCJIoch2U6/siCZzQLJ3XY+l8KEA/WRAsPaoCFPg81OWqe8NA9qdSYWze4s2pT02ClF400QoNkxQqVVdiFBdbacOh2pNBuANEqS43pMH5VOhUm7q43QODgB5qlN3F+XWK+lV5dgY6d7akBMAU0g4OvGgdRPamtYBUubgQqoG9Uh7HqtNAyxQjmJU6q1aUbznbBiEuKgLppdtwT2vN8tObGeHIbqsVVOdKOlRqZvOEhNDURitZ4opRmcEwQf0TzB9ge+rguzgShG20HQ5mUfSYvUOiIiqbIiS9QJW51BotCAM2fe0Z7JAku3p/RckTRpEG1YYiabOjiuBSE96i6ynWXVolc9WoHkvsKR5pKi2/YukUs2GPYQlCGNimintGKmSQ1po7OGQOZ8uvSoYJISZX20nc97x3FKTQ8Lv6GVh0cVKanIDF9UYNffCKN60NH18uGgjfUtnUwpliQ4SUrGAZQjteFuk6PpjKFAJx4XkasmgpPD6Dgb+43+7ijJA1hrrWflxiHdq2Wi1RocB+Vw3THoeTxLZ32nJkWcPZ5ZfBqKg5LH9sehx4235QEygpZpghC9Fbn8kZ+QLDcfIV3ZZbdpHQas40Wb+kZxuP7U6xxbxL7le+0ZNWRn621T3A6O4UFhW+qRcB3DRtaVfzA7zTFS6NtbWbK9jl3bMuJYoUnD1dYGORVDZxklDfkQHj3SWkpCe7saV8et3agvW1SbddbeujMrkX1Jq8u7YX23JlrDvuXMN355iOxmZOovarah92N3vXKnu+k2Vn3Wa2yWhuzaxkw5CsdBY+T4+srulBnGq85EpYUgXwj3jYYwh+MB0ZGPUwZpGJthfTKuDpTU2db6vKw5a5NOB+zWH2ttpFOWJTxnOuqPTIdly0cgt3KsDr2YuKur9sjOatxqUCQg465SSQkWNjAmrYBqrdqL3bTpdWNrnYal+rzXHst+0BaPg3Qg1XceR1vOdr5pjya7LmeMOuOlCYCItDltrFZ3I0Ne1gbsbGE0o2SMMRcRek/QsXnW+zZ7vjtpBXNaZa1glc7p9dCN9uFouKq1eATTwZhz1lbGByUk38y2NPHYmjf22qsNB9nDJoUTaKziY6ztZ2Mq0ly7xcYbkwut+SQYlFvrZpngQS1g+1rQaFe2Q2Va9zptqTeU6mO+0Zb8dVMUy+31ar9x/MbIBbX+cLAweojqnqvMCXZDdeThJmrIkUiGa2eN5K9IHHZHuWo4NILT0qQ+o6Gr1gcMafnrYV+eDJWtq9r+rMnOu/aeScVEIZVt7CozO5IWnTQgknANyoNBbPu7rueJsLsL0lJlbXTYzsinq4MyIIHCrGejOqj3d4wz4kqJsWpZJaUxlGqBnVgDWWdnRGAMR+P9cBjM3LIeyKEmEzIbIuO9tgkWyI71WtXO2CP8qkvxFXJbIp1lVUIqT7rYYx/eeDMvO2Ro9RWkeCBIpr2dNEF4F3OkRU6BrDQXLNIcgjZNJslkXYqIaNPpbEpwCFxkUKnIThIlf9tccauktyaQaVGbtjdIBhMml9sbvJ46x8HRosWSEq1mmqelB4cvg5GW9j3RT2WOjrartNEfx2XK6y7EyA34aNaqztfVLt+p1+jqujGahBqhHXf1dekQDBjZIwZeyI06CPgntZDrduqMXp8bh8Jnu5AJkSz1Zt19XxISWvQraNXtRkePi4NlaWevJzthwkeWoS+bB0vYqWzb5TlA19N9WdOP4qgkJha/XwIE1lFTHe52xphENr2kHgQxKVcllfQ7++F2fAjEap0Omh7DN7zjGPHrqHwoS/vm2mlFiU/3oENQqXw42fgHkijt110Y8JCOxhWfqq/rx5iPeUoLgBwxjh8k/VjUy+tBg9Pk6OB2G0NrOZmMzL6PoMuf1rcIU5CpvQRrWas3F+uOV5XXyOzD+4SHqUKxMRt3go2oV/dqa9VqhBYyHwS9ltTsWF8LtsJ4BBxP3UjikeG/TVkO6xTCchEGE2a+MjS+UzH9OWWB8zqpjaXJWu3RhLNcdTyk3y7HriULZcnqdcVDc79edUolJJSiyaDMOhQbHOcMPIb9vtAlhmYrXrjiAolh10H2QQx4bUkjPX24arUUtV5R2MpQ7Pr04Djqax15s5N7eFOxPyNGJdPsMkAQp7SVTGJUrmyAqtSZqtPYWhvOVRtHMVj4iWEPmKE3iANzxTt8fFBak7pf8cRyfT+oTf25Y5v1/dSBFWtQHbbcjkrt15SwogSk7Ne307KUVoE43gmSy1CL/RZICdOP3GZ7exwq1cGq1uuMXUdZhUc44GXVr3eZPVGODYxhfnvqKNWqD0piOwwGXLRY7I8DsuZ3xpOBRmnHuLIuiUEoeOSQGCyb2lgTfD6OEBJ4OR4NkjOdEUh61bbvNaKw32z0jh3TEnUCkpPelIxHSPzvhcbIVEi03vbb+na9rXeqtMmPWEqZzCdcOlq6drqlmJYd91ZDt1H3TG45aR3F7dJPkLrQaQaD0tZcBTuFk7nAE6WDeSQmzigG+0Zlok8Dqd5OKAPhezCIaw2RHjeCDRVMOR3LrvH6/6fuvZYmRbY1wVcpm1umG63MpscMLQICGSibG3SgCTQ8/RCZWbUr++xzerfZaZvpm0x+AtwdWOL7fPla/vDt12RcFHD1EZTFF9UkdkZSvMvfQLmseBzrOtlEaw7pidee66pOYtmP+RRo7I4uvonZMaXzdPayXKwo2ywU0BjLqUVgsaEzqWQjeiQmhiIbA5T1B/WqOIn8CI0fde3e7h83TiV7K+RI9j+fKxqzLVGUVfvEZHRtmelDou51lK3YCTgMlZbEZya9D9InlzyhTYJ+x7JTC9oWMYL46KH6Ji4sQ3zX8iwLztycim3pdzi8nfByEKctoUWrqM3BU6HN6IaAPuo8L0LXIvs5Il6QsOuqO8DsCjcGGI7xkrS3L0uXz1k8ePPKa0BLVHdjpw+N6AFaYTzjIIpRtwoKH+5EXrHnSPScGG7iTyPkFYu0IC+QuD3WB79leGXHT24q71m4OBaxM/6nDYTQ/ep0DpYC+9AziEaAdu2JVA9YBa8uVmuNXZBUyZAPL9b224AOe6oMsKLTUJZ9UOxWmLc4Ze4YsLVOZwpS0WnfiNsXxtpQJi9QfX+gbCONG8lF6LpNFXYatpleF0U/ixJXim3Dib7I0Su7taXoN7QCOOhGFuQG7qOhAAUKlqPxgNrQPzpwiT8QMJI0QGbxq++oba103TT35eJpUn91ig8Dffi5jVGkaqYHZ54OVpd8mMjP+SvfjQnQP4uJ3s4A1O2P1lwp+kwkeEkCO1fKE81IW/NZTz2v55R7eFbIop7TxPZi0QSpmdtxs6Qzo2lbOh38UGVD+odO23x56/T8vkxXL5jvZLO4++qkQps/WSgRjYYTYwt0My+iI0V9Cgi3zYGpxoAntd4ysT2AdWqSDqyfyxV04073UefeeDVYl9jXySXxc1fO5ca/HTkWujee6bRzLm6L3L/FBu1sT1yrUemnVrkR5dks9Uj4/SjRpEiONXJ6UUifcP5obi6C5MeNiWQX/cuO6gjj4pY0bhmUF7j/sXsK9kbFoMgAUFXh4YvUSmSzdWNHmPIB9zVHzRvqxNyCbWwneq2c9B1GYu2YDFHIuz10ONrTpAxpzt1+YVmHt9EoCT4u4cLbzUNK08uMap31aIVRN4nCJ8awXG9LIijumyFYpmCVSDHW1jl95zJa/fHkb1XDK/pyME8haFmOxoSzGOYCpUPAWKCmMT0xQO7Ku7IvBgUmyJwkYB826BBbEmILrfBijYIlIZLRxMJiM9n3Hay6ueDawVTFCoUpd+FuEZYdFxIrSjEuSD2ds4nHzLKNYWF03bb6q+vwQPE+e0MZ/n3fzvHSLz8H9FIJC6ov1DNoHnTSoYvkO7nNh4+ahOK78fO75u9uH8JSfeGe8+cL9tqGg8bIua10/PHpzbooCaXVlw/jwNYYli68yCeTPn7wfyaqWX5kxfHG1SA/HJHHodcjL1rkedPS1S3mYVUFBAjKgM7bd5KhNFVsDleaOR18FHxxbcu9bCE1PeS38ehS+F4hPAta3Ai0nHzMSJW03miFSUk8epaXYuXJ3c9pbHLpzT45zVBxpJOTO936ZePQFhBHbP/AY88kgKEMXxfkVI3J79VsQG00NmU0kWJuuBiNhTJDvOG8Fb+suMlik8FfvrJEbdleqbMon48YVLK3NtqJrfrWuzJDgaD7woBcJicgGwNwo3qfI1GapJUGTI4GdcpjOzfM2qFDJTPf0Huie++v88nfVuL9xVFBAEVX3623h7N18DZXC54Ze6wY36hwfi2uIPPWwDCsRTkvm/U0H57jGiUXhByAmwRP5QA8uyvC+25TNiGwcd/ft/nFrtXess5G5LyUnsqodE0VuzBGceH79Q9cBRXujavEoUBaNKhJ06i/mNL71Pw5tVPB4eHrBKnX8ec8TUw8wlghS8Loud/evytoXToAhturF9mbH3Xf14MWVs5/tJsp34gN14HP5+azEI5tLmFPSTdD5rPJ9rKVW84XJB2633tOpD/WP9Iy8tDg/EfQEhztQbe5oePU3iwQ+pN0HhiocOvy7AtgMKMkBemnnhCeLeZ1mbYtWTqgmbOvtUJ1k7dAdJgBxucUAmCQX329cG98rByuddoik6GT6tyeyahCHeW7KevvOrfifTF7wzB7JvLl0euC1ArSKPv1ftsppiyNG97oih59fZFCa0RqMRpz01p7p56/6UXHvm/lvOVW/k1uGWfXWZZJTdf5TfZLxWcZ5VG/9/DqONmpeKuabOo+gBs1kS8KfM7fOQG77rrWQrgBoM1OF/TmFTeC39OGzGtWnUgN72N48r5wCh+0+/AzJj3Nm3uSIc6wPUi6PzNTyplQGvyb2b5sLXV25ui+/dWvejow4aiIsTVXn5I1jfcyz28DNV9aa/4Vx/if0OEsgbcIAM36uB0ao3qTn3BLtISv1oeDPNP7h02DfVGYEJGZZT/62QlqNQptbLY0oD1vzBMNS6j/QN93/rySRdZp6sJOoCetBOdBDFOeCQC9tSP+CKgBFeTL9pcJeRHBQ52+6y62BzWOMArAouZnA1V4G43faHTPmeiaP+2bvb+xeiBcSd4Yk4z7x6KslCpO6m1PqLSKeqAgpMe1KGqsZsRhFzeQqB43F0IP6vkFEvoNJGii32L4oil12bYFdcBz0ZUPrd7sSC6gAmzdj9gj1DGDbJzDquJE/Xu6gXkorHy0gQ9epf7BsWwz0pDH2WwVAm8JkNkzU6EItBLuw4nIicwO7wffB6hNLYp9Q5g4JhOYZzX9aG+/lriNI4YFWY3YI+rHdhM8v4mckUhvjuLfcEOiA1ZEAjyjX6/14XhxwOIP8sKw209vTxAzpgSeBQA5Pj2cSYI0HwKL9giWWu6NKjpCeU5EfeMQW5zyscZwI+21DKft6rb4I3yIs/HCzJo0RsqZzMV0eg4AzJg4+HyCJcfmUtOyvr7QVsceWhX+keyKceV2O2g3xTNHIu+FJ3lkbDwDSKaYNra0Zc4PwL7cIm/c8t4Kfk0ZsPawHmaxUxrry8My1AY/5Dv885q8N6rCLnX2TaPPaaITFdgIqmCTW1tf7E4/3yVbP2/dFg0vduQdkUc2wX+tCYzpIA4LaeJCu+TZ7pXcOJbay6O5daS6RUT1LFe59RNEo+7B3vbouH/8hw7twswzliXzEPSbjiqcWFocN2CppOPlGxpKSPlANyD4WpDvmNg/xySNZlBbj178LoO+PflFIcc3fi4Zcez99OXAP/XluIu2jYjMkdreTK10kkQBaJrMg65Vtw+cTK/diWeQ7LL8uCmIAVX7PU44+m2cPx7Z57rnRjuDHbDaoY/6bQdKbJkWZPkf24DIXrwcci57lDxOzZ+NSKChPPM3VbSf3y5+vC/0WUEUdYsjdQ4rwqq7TwZNomQTEau0nkj2RCyjfz2UzGz/5BV3+3tp8AwpUwLyvL9ZaZFG6WVCh2ZQ2CX7jaU+0P4KYjtzU+fdjnnwhUH2x1G5D7peAleqe3p1rKgKUGtuzNgw2DfKCFHGiHXQMGNoAB9pJKs9EGGA0W172pgoStEuuMU4cPcLogj5znBkVZAh0s/GxXcbBAJz9wMa1JP7/35xHKGLsPiSmI7VSiQBz/IsxDkLXnBzgZrg+k5b9Z+/OIBnB7/WRp0gTjXQplA+jH0e5Fct0c0ixjrGhCxuDEGApg+NWntJdwqjUEryPll7t1kRshP5kLEfMbxv0dUz7fOiX/VzwpNtGgip1D9DjRYgefXAhQF8VQhj8XPuY3SNgogXw6Fhg59JHUgj+Abbwilg+cD8kH00JUafwJ9g8sKfuOSXq3d9aNOFqHEbCvThhp+ZuHwSzb54FwdD5tbxG6uKbxoDNnukdO8bn9M/9fm29Up+Yymcwg2V7raMIukv/br98DYeDPNVIVvm/9TnXzofSsLthPlhSAU9+urP7YcJKmW1P1VIvZ2weusPP/fQYLKYOMRo/jNWNB2UeLdqfxUTkZh/YAKl4MP8Jo/9rzVQPdKPNhXP6ltivsK81gh5/cLYj/QDtR6rV49FBrMuHOSS4GXuX/HxkDRoSIE77btdEOy+T56F3zDD5DrDVFKfhAZydv78tGfib8+/PFXutpPujV6D9RCUesSwS+KkL/avNBuQpSp7x3u2TQBYQ2+QltH8iQ9JO8VrFi4KcVL3C5V0CV+QGydj/buFxfOi1UzS3/4ZPYJ5OGlSyW+VuGzbUeBUci+I+tqH3e96TGYX4gM+r2GFGIAX/CmmTZ4CZQR+P9KczsH8/BqqvLMn3zBfeV/++V0vNL5tHTxuVO6qDXCd1PQ4KvOXP92xP9fadmUWePDrAjSh6Mfp9ggoBVTjmI3cZdP69DjbvY6gTQ4t/ed68LVxCfVQHLwgtAvM1sDo2+/iMYAmFvbXWvMbbhMPW+FwB9E665xSE5N/rdVcG6OcTy3rHaIb7Z9r2ufHj3XuIun2H976uf7ytJ/MqJpb+B6UX+sDtW+OU7A4+UBjP9cFqgzFvCwCuNsq/8O2jPDxfPB7zsacaRNbfBXkmZrlHv21JhZpbMaWB0xWIz/OewJ2JNAVtfNZ+9La2VEag/OX9pAmv78UWGqb1QtxfOoe8xSkJhMAfPdd7zqcAdXXMClOl1UHXOB6c24G42s4Yi0EJn+7W+II4LteO/K0m2lQ71iq+qBZ5mDX8mK5XchkGPv8NckxsNWHF2UZ7kxkkmQSpH/WwRynLSE//QMY2nCTL1xvAS1gIhcIgOUlFyPT9xhliMPrePVPUwMRekseo+hny5NT8bzNQsCsUaMQ3vS1Ur0nRsLLzkZ46RltK0R+1IzZQUxrZAS28cgBK1QED+dKc7qU0N/ZbYooZRnP08CLtMGkmriZDS3gC4r0BSYptXMWXae+AvtmSrvoPVsAX6chXjJaPF1sO2AZIPaoBAokSUgssrPEv6k4siKePYpwVmT0uSmfGX2SrZfnpLqo7aU4fc8WhWADzk7BvqgHSb/LDslsRbTRZ+bMbhxQ0kECCMpiejJH3FHHeBPZE4zB4+G6F7pC+8JQFuGxDoc/VvfhioYfWKKSegcY1vbQ7SdAxqj1qpQxONnK9jJgMeznLQYyUGPkyt3AN+o2W/Q7nFAbuNeGkvS8xOWjRPzk2CkEQvrWglTRp2c9vDW46F8HF0LNlkRGJPmSNYHjpwrxCUXRebshYiTFuXt/WXjQtBF0CqS3M3UNVPO4VOrIFJBCtWAqDBSiZQtihwncgvpQlq1AKcrfs9QibIdC/I1XVclfUSWw3dmVnAoEt2mCXP0KYDdNSVtcsxXKVr1pirhXN4i10sGBolALSgJnnM8jMyponII8SQSX7x/YcXZAxTp9hnhlYV4YFcMylxMU/pRgR5swfmjcdtWedc/nN6F+mts2z+ARLTYtOgfQPLvFzTrIjxA+dWMVLOyEvibp1R0V7rWI9doK230ck6BKhu2OjhEZ3Qq9sLPFpdTz3fLFpb5BSt/vga2QVDfvZyWOuuQAo2WKHL2nbLGD56epiMepLUlbN1KCk72hUrwq5BlwG1laA2pBOZwt3mDn811+r0A3lGlv+GEST69+OBlz23Nv1ULbES2RhQ9aAkAwCF9E+HZPWIDVPJKfBsYBuV6AV400LfeyG2u1mehR0JPPR5HXJBaYa+WIcrgIrWqdTrcICeOAqk5lEtBSQxTyvDL5haE3znwEQbg2YJE8NhBW/EqrnczMDjvNFZhCajsL1Ew5h5N1QZkkrfM5jtOckFf46IT45sWwj3Jg0hMRDCEmYDiZH70eL2LNRLfZU4RUzVmZXNQnPi+7fujgvFaJo/ULDN2Mn8fAywQidKtBHEqeAT4NHQSinU+ZYn/zpTd4qq80jitCK1Y2bseQuoVJJKlMgPLN6uoGN9yXbTYoQEy1yN3UZKtO9L3glAhl9EJW5sj+lcszvxIyGyJ7HpgmxISuU37mB0kswN7uGEikPmL+zP3hHFapmgY4fKl8/coNbSzrYbuEEMR/5gM5tvr1DbP3HsRfOQmjIHDNC3iLSPkrp7RpHOvhuKQYxuwvP/CwWWYUzcHOhj9zHFSh4f6F/h5/+Q9/QX/ymxs3Muxf/VsxN7M3D3qn4jve4mDysILSm15F6GEn/mz7zYYZo+rZSRM8rIK/ziltyVS9fwXQn/kYP3JJamjY0pIO01+5TZaqPDU1q6Bnuf/MTbGdnHG4f97WTR7e3wDnyWJgMe6Z/CaQlVDg+EyTK/jmvmT4bey3290jyxQ9UhDd9x246hB5JjJMb348kq5425ADz3obap8InV9FgtBz8sEriAYCraV7d4ToyStqTSOpFPdMfYPj7oVdYgEWKE0+VdDrvHfyhMmA3DFBXNgGQdrk6p2ds/vbRF1jkquRBKRAZowuT/Ij93F4mqTX05eEDSzAJIr2eYIaIDf1ZtVO4PoQ60Q+pdom/TWEHEKcyKa25RHXZiwpTZDE6aI9EgxOs63Goa2aLN0zCCwD6HyZjEsHp+K9U0VUqaf2HpbqIilHGh2zmm/A87QB0yhA/LpRBg2e+rpXhtluIO5zQdIOAHihp+NMb3XcCNLRPr1MbeqJtiHo3IS+AU1uh4LMbOagfw3iKO69opF0AIIEDJwgCMIbOM5K/T6NPKxlVxkBMIhUlbtZRI6ehluuXy4xnG8HaHmADAm+xJ4/1s5kIkm4N79GVgN9BYdI9dF4aNgcl/T4ApNtLNQGPMpFvESkEsGHJrJ2qGwAsQxvHEfB0+3UfeiaEv20FNZYREqQu7Sz/i3rE/YCKb0De7/Wdg7j+7BSb/vyWScjrA+dVo/D2G8kVQtxA+b9yl8kFvJOpr20C+23rQ5thdjM55MG9KFWbFntkDb4OTeJ7Uw/d/gDJoHjo3486qm/yAJCfAR3Fk5ZnodVwU3QRflFg71bkenHBY88Lzb3A9VvtuWvbIODXHZqZ9uoV0I9msTIem35+OZmmg6OPLa2Rc8W9Ny3somMKOQf6YbOiLeEI0Rl7eLo7szfcKfzbcVsVFsZtx+pQcdBg08eNWHlDfmOu9j44siH2K+WfPRQRxrDxxIxH3I+jibELfgC+J5M3VZDQbwC+ox5wEpFVL7uAI+2eO7i/fETin9EVfyInR2V4+fJQF58iAXh0NjSyS6P0xQl+rQkGD1S30P8OEKFRnHuPKxcHIXVHmCPgd+HP80D1AE0nUUhzbejItvuZqrpKz8hDdme1j0mq01fInajRlhs9EhD7Oyj3iD/bZtc/PHxw7t5iAFEpwUEH2yblP58jfaiAQ4iLoLUjyIidzKKvUi6LKGh0eP+ubKVQuM7rkxBNTnaOr7MFKE0W/HL5PFdi1AYY6i8ZxvBWeqtNe7DFsfz2Lrs5cVEBbqASSToRryyZwtll+BkrQkqPVkU27ZMft4oA3v7SydJb1iMQsgNuC5bWbR18pPxQRWpiDQodrKcpmS6cOR1JHVTJUfHemNkqgprwtcazQyg5Ng7NyjIb+z7mZE+mThKphVkAcQLf9yqh/WYhtW4thsen6sOlKj9d351aAT0oxQNdkxLsD2OQhtdj3CyUOuIVXn7b2P6keuElN0MavNgagSNKKNSFZxa8S2J5XVxshZIHuqRBlFsk7cQS6sMP4us56uDWrY6qJVJQHp1x+gGtAv5HMngQw+e/kQXG9zXBKTwNbFlpC5G+5WhJeVoITHlhH9Utva5gozWd+gprGPn0EkXKwQe2KH/WDTcp5ybHqA+iQz+I9Mu/3pwDaNKuTdMrZraY16o5LI3JbSgK0gRyFZXGSq8LHzKy3Uvp1lHlIxjhqZ8ubeP5F+RYP2ZXyyo6Tc3PnjeIPlPblSWd1s/ahGUv/wYpzjIr1oKtEjkf8YSUHGyu+YnN7v9U/3WrcbGjDfxerUfvJALTVO5YDN4IOb3v3J79W8OcB0LbfhXDjBDf3OAzQAP/8pfZoe6FEr0Pcb6fePPcWyvb74vDEjC8y8/rOyMskChXz+kH/ls91BgzmCcZ1G/r9dfeb+69VAy6Tmcf+VRsz/yqIOQKuBf74JRZInjeOffjG0WqiCmwon7R57lzHKDP4ZkcETQ6xOCoMny9BonCTw93PQh0YsJAjwYFMeD72LBrmXwkoubi1hcf9O0niAsNsjsQdg+BbimXR2tkF3mERc1NVTKjRRb0ch23//59zA0zcUDV/CjAV6r1jTTcENaWLF24jcItGCyPDDHX6CGk5xpyIO/7k6m/KE9MHg4QOpAQfAN1kK9ORz7rsBvNReGVe0XLkyNWpblf/tv/8//8X//LBnzf4HfUjT/HxbS+iflfP6FytU/a9/8MUx/vIepuoZvle8/fpz6NfCfBbbwP8Z/UxDov/4HFYH+peLT3Y9iQT+Kp/7qLM++5R7/3Ef+3+ngX6u19bfyQn90cZP/sY6/tnBs166ff+/xr63k/50u/7XaWz8rFP3P9fafWIbr9yH/b12G66/Nkv9ehuvPjQH/WRmu75aS/6vLcN2oBEvzJP29DNffz+L/9CzxT8/+rQzX7w3/Xoaryv8hkb939Xspwlstb8Pxz6/970trV/2/0+h/V3GLuV/0v1tvSyl+btH6VbNfMr38KFX49wJc3yLS31/mb92tHxXofipFN353bfmh6mceT//nHz83mc2/u7nE5Xc32vjH/cvwRx7PVXv+Mef5jwt+bV18X/QtUv2z3eT8Ix5v45jfnd0y+2dNxB8q9uPMH/uwttkfSf69bhrG6btZ639OqS/zh0vAf5X6konP+cM3Cq8/S33BmfnSUuPN5SjnJze+UDHGVWNYs6FGipLblhKZMkeZZic3p7QhjFFP5pUYJDeflwZPdDMhlka+ChVZ1OHWg9u6XDhoyDhQdE+KSc2dMTeo1AtJEW46SFLagMhQgJmg2V9vjF22xBAwa+ZgbN7KlPFKetZ5y1klmLIApt7t77FkC5gysT+O4R25x4slwzk5sQgGKFJOoM0kFwDCChqeT6lVema9GRttELq2fgqZPCheARctQ27tnFp8QNMnlVMT0LOktW0yCVg55QPE/bemgovMTb3oAIy/iLTQ7mBrUN+1vGW9tcrF6luhuggFxm5M+JjVCVDJdhN6w/hFLjVNuHwBdn1aLhG28pXgWQLsGphj8x44lLUKJFRc0qCyPoaRjCWOzwDpaeMV0/1MdCpJ8IZwqMRS95sN0K5m3kcBkYe1rY8bqMdLXc3csp96teTUy6/t3UWdI/8IieoNRwRjFpqB1gndPEQ0Y3q1FDDDQkRAOvXUneyxnVmDJHw4v5T2/pJ8Ub03EmxsU9erXnfSnkRUdOtwx2C6ZwMW49LVj/5F07VwE+2Kb47ZlkMTDX3LC2nf1FJJSIaAdShWxkqg+yTpKVAaszL2+9FfLwKs+JB+Vj367PGSQgd0fLKrSfktlGLKpR5kfirdPNav+98AY1AmFUw/8IYYaOEMyBYyA4psa7jm1X0eH8xY0Ld+c5nTHRqoj19V2/oLF148CUvwDdXCkYybceGbrnrhjydD4jC2yASU0VCWL+2RaYlbDEpxo7jofX1KNEOeCW+E78Wt7lvVnnHHhU7pABopqJPffChpK14kU5vS6DSS1Q3r8fIK5e7QLFj7UOGQUbCu+iwlCMjEDsaDOJlPtbx03buWWobgkLxsfw+YTi99aMgXZDSUXHvlyCn7hjqXVJlL2QosetcCfC7YwJwYno/6Psj63u53kCJzdhU2VEIr0QJvu1OtA1Iq4JCWn5pc9eURKsb+vklUA98fvLBIlLDMhx3xbmOnIiagsFSYYHDsUxr7XG6GzA40gd/1vSIck1k2dNZAbWCNJGhkVq/rnydIrLxszzcJGe1rbu1QIKLJncI3Q82lI8C1OW7lR5WE2P3IbRLB80zf+utGy3NtSR8DCvWthii9KJRp34xDnTEzp7Xg5T2iXNtN4pWIg9C2yQu0+uzRtYXLWDcxbcaPWy1aQdeq1Om4bgr2ektrsirdWDNwb0M2Y/sot0X4FmjlLYuwX6CxZMVltngY3BCN8aBtAz4AFJlDkBqKJfPVkXRyR90XXDHyvb30hupmebcy52Z3O6Er6eOWB1vL8UwPDdN+Kye8fKpPZ9RkkYIA7PLFEuXJUmYI2QlivQ35qgJuXR0cKaTeSkNaB3yCl+j2HCVdnLxXyJAQCdNQqQXO6vC4BWWS7uZRIGNGWt76y8AP3GgRB9ieHApPLjlmD1JvdZxJ9QhlrOuzmW/9WVMC9fZJKilfveb08iKF4MEqy0feytAH9Xcl1kKvP7QQznI6STfhXRbWjpO2HRvv+ZAnb7jwm2gZbtGB/WP80NgnVevv91Ksh8YL9LxEA+DHiSyv3G6d59YDmvE6Y6CyvVh+PcAa7zgd3hOUB5+hYHRa+6CrKBA3/d33Xk9oE2wT+A7VVsxKOBgqlHDLgJUKpDowUxF5yz6VRHBpiUfv4XkSByPwH3cmwVv/SEWVTfARSh+ufcI5qCtIk7Itf4A+b2NDn/IMUTMmzVjAxN5/WTfRgRacYQLaQVvg3WN26Wc7NaiZong5ZLZXxkDcBcgtXgxMGRUX6Ox0SXHXequt2/Dl4e2gS6UlxR9A8BkCQS7HiwJf2l5SDaEHRBXWZb5ggq+8A1WFuf3G0Yhv3wqlTs9EcieZ1hmlQDfq1QErye7WysAGrD6lWTqqV/QeyTEoZNpTpSDVdZbDeBQ5/FLno4Bfq9ALvJ1I4jBA6xp+bVX6kMc6h5WRRWWILmuYcIKMflQUK3Wxmge562zdw9OTmLsNLWAAqmbl/LmLqahDUfN5R3bVlNz78mdgHGW6w48P6mI8CPWRwCc3NoePumrS8PUyZlRgMNkFeDF7wJ/nzEk6oQr43FqDbauhDt9m/QYDZvCaTrDz+zqPhU5VXkRnM8yDhaD9brJ6yju92jFJZ5ktzxc+x662ISfBCAJcjidhzUTkuqMEe47HvfZGMPv6QctzU4gYVDu0u+RK98g3VutqO/pcZh992kgo0zJGzw8Oda+q5J44yK0y4UW+mUROOBj7wI14s1Y6O4JqBYlhwSglAI3LZ6zIK7fOo62PzzvMg4xBwXHopc07XN/jRju8mrHidZgtNROX3sUTO1/mRdohmNnq1XDPPZNoeaAL5qmq/iZLl1JPwNuoKC6ORh56WnERjCrBVagTFTCkJTaeQKfzDE9u/lgiY+qGy3Css7NqAShV4rRw4JwRA45bWNWOXE91B5etwWBIqbPwtQvWKuEUFaClQjEBW0Beie1KwEvYLcBWmW+SeMgYZ7KLgvItRrk7poif23q/1nYc8vAjilf/Ye1yzDQ0XCqdL/NZkpi/Y6cx09NK2Vmfr2DzZkeiyPVQCnAK52H7pfS8iMlDPYvk2QIVuRDl2fUZV6b8BSyb18FF4vRb73tx2cWxGqV1MZrrQ2ZKisQsrswLeCFf6ETGHl153Bqdltq1FWKtDy99pnmbZJ6X0JoJ5bGIPvXEYzC+o0xNMfvYmaYpBpI0ueJMGNz4KOcEzhFi00qzhuaT8/RD+5QnJZcWjYTFIPVmAMPgjbv0erneUFW3UuwLhMi7HXFWi3Q9hiNQqJexwRSlvRRmBicSZbeslrRtIW8mG74+WOMpEw9npIehRFfA4W6wDM73pvK45bp97vR24q78SvK55xcBAZHbC0rSKb+fk87kiDpWDtqTfXN7zxpSnha45G8eo4RmH8uXlSsnSrX4pBDCKPuehCz3GLXIK010K1dypNzNDiKjT9CR/pzEh5zxEQUvDIrXYvSQBIbpYSsEhhMv7mmygw83onLlUNFXdQ+pmtZi7ncGpLHCaU26uc+CdACCZS7GCDBUDpwbkVkLNE24G47G3sUWvjdTWiwpYuBtNOuwO2pztfRp10IVb1clATmbE+HI2KUzS8u11YwiTMe7FKb3O+1SFuYPoy734kNbTJXeshaWdKon0RzztWCUD0bxx0CjyjL9IYcmL0/vtbyN6roJYhnewg2c7GMPIyG5qY8m3D8v6fjk5TKmojLxUJ0DE5HY+syKP+2iYd8sgdqmzOTlL1pSpp/NJ95zsMU9wnx8lYemnCXjwurt3ZiwqGyJ8iFhqaGaESDwtf8CyckyGKioz1mMPD4pBM7M2MS5+AMrZtlYaBrOLAzmR7Lb0U6JIjGDijRW+cfDIIMYa90YKXBkXT7NlE1IdwBPJ04+9PFWtMtcIbmkeuaKMS6q3USsnUYg31NsqlD8uc1Wz8SZY6lpAQArIWloRYdokLh+0WaBNEF+rh2IN3G03fSliFXTJZbWyltcdR8TMIFzyYELnb4beUvVvPt66AN62pKfFRVvLpCFJnj+xAJAhn1cluaGP/s1v5+uXFHxI3U+20VADvElyBMG0QiAR2vIXBzACsQeer8NlQA8MDB3I+HWa5aUItg4b6DowINsMDmAMdG14eZFBVCB9qev7bCXJGAIappwwpcQjhHSchSUkKHMTDXkoLPzGJb3LNKdIgnPcvboVXruxaNMVY2d1ipt/WaZXWQBKEi4NSvqBb4zdz5BZvDjbXwFzfu1+I9ItNhn4uk3ALZ85nZxoSEvsf2MZt1GOOCdofbq2Fh0sBikkcSpQNC2aAwEsN0H6iEyETPOe7/AqcCPEyTgEZnt2BIG0r+sUhfKl1zuaOWRPi5tLFAQmkiK7zkpA7roM3miY9aIbQOdIbu8+V2A8vV1SyZ0LltLA8kVzsulCQ0YkwfSfihaYEvhahKWOTYkfU1uCyxEPFJyAU72QztP9Zxok2z3UbKf9g37BgPBCk8wMZadXkXWk8cuXCtZRe78xSlwAZD5/dCp3BJYYbNYaDHnjWy4CE12aEb4XZjrRivAfmbxWwYnimGoRp/5D1MYeNZwSPMStJITai4s3yk5oOwjZgdRszip4G+9NxfKh1xFCRhLR8KdKRMDX4ZTsnLmTPV3y1pVepKGuDAzJ+6qoNbGKYjVhlBwY+Cfm88zimxITYaeapvyBA1N8m1GmN0IdO4Lcrgr7dr3G3U2OJheyP5qy2AztQBfEQ8CMNnSufYSx4593VS/DQHeOUBNwbOtuy3zYbN8qFUFHHtnzDL0GKpFhb3eC4OZD8Z79aNCsvIeh4n3Ptn2pVX1cExDPPZ2V3m7IU8n+jxMO2b3h/f++EuVv4anQZM2Yes053fJ8DhmncbZ55D3kDC8ZydKDxqpp7f1KB1j1ShUvFkUz7xzLmoZt6LX8RYpWLdgnlr6I3tptSDMn329AVtsqS9iGcv7jVfGrKWB5EUDz+Cp/DFhw3lzrYLjn9F5G4E1z0ClVMPtoluXHayV3ee8mSlkXR/kOxilthw57oAG8EVTBkG14Kog5VODj2LAulFnhruT56OuXl6OOutzVkKgd3KxfVN155BWJl+NKG5zVyymjZW0/n5mJEhAxL7safLqSp1pLWO+v+ADsKCQeF4WHnkwqs1r4nM+xvPRzmM8k6U3i9Xea3Hb7v8ekwRhKDJtruvW+7b95XljjVxtQpmn3Yl5uWU+yeJt2KtEf73V7zXpWxlufyJ+3d4siyHh1jub2qv0SIVQmNj39xjfhVAyGRrQhazani0H5nhaKI62U++6WQSWFKgNmDx1LU2LDp9QRQaogQU3llDERT5Rv0PAm37g66gAMo7aauDfeiIFJZElQrxe15YDc6pvlDcVpPcaizMyZ4EwFf+ZgJytY8cElalyBuQzZ/bnk24B3OjP2B8X5u0dt1Fy0V1HULSm3QcEtx/i0O1cKPrh/WxhRWN4yC5s13fW4TOMYZ7Nc4a40fz8wBAxes/IHVz6jSL4xpqJAxRl3s43vtp4b5EFvSlxVkMn+EwuTx9XN0TmfW9mYjCKy+RznImgjIyrunASrX/3wljawQsN7nfWu5Bi5dq0Ucs52u3hZt7jNgMkZMEG2GTW7U35SXhz4fNyFUp/C8vHtRLdx81AeIH4LM1TxGJG63KWk5PT2mTXAM3+ec6J0vXOuB3ut7YLlIDRwYUGfdvLedmwmNhYSHDrQVVrS2IaevfXKIkEZBZzQ2uqOJnrjjfspqaenOqKg2WYz5TjQ5Mps+xpUiJVikcOM20F2QTf45csPQ44dzhyyHn15aPqKbFDLMBx/GB31UzbLezqM/FbOHZW/7W72Lo8PuSiTj5Ntg15CMjOgskABo7sc7RzLVhsyIqp8VS/nz20ajceGsDLw4mpsI+RR/therZousIIYR1qfnOXDlwtWO94n5eWcuZFS5VFgWWwCt602LZu5cs1WY2Z/caufsslisyyoWTtrOUa2NNxutJhHUipN+cmbzfHr+3kzQTv8vbAFI+/gyleObLvhB8ROqEV3cZZrY7j/v8Unvs30/z/g/Ac88dY/QoU/ZrAnr8bnn+7mb8z49/p8P09tPnP6fMfM/FtnNzi/8deLe+/TZXPv+4vv3uj/32a/Xsc9/OPjQt/Nvj5FZz5r/9B2OF/GAhj/ph/xiN+G/13/64fT/D7PP6PHd7i/jvRf/6XZfgva5/l07x8H+keZv+3/XD+SVTjXxhKW/X5/8px/GuxQab/xjnj/6yB/KeGDf/+NP97hw0fWBL/m7Dhj5P/Ttjwf/k25XQexzSOF1n+e9jw72fxf3qW+Kdn/xY2/L3h3/d6/BF2/oe8/t7bvx9h/L3//yBq+PuQ/nko8t/dqOcbnPsRlvvuLf43ffg9PvdXuPDfhhir4rc44j+ChT/OTH/GG+N0GuZfG5rvw49I4/yfFPX7bvDDOT+jfpxcSLt6H7yyv23wYyJa8ny7Ug/QTpSwMLOmQhplejChYkh6GAWUS3UNnQ9HZpB/8p0nWGKWP4G3c6xQU+xesmIlAv3yUVhFkmlK5y0NMyNyy8gR3dl9Y5gqm0pXl4A0EI+0QQQG4dkomssABMEoZYBIoRkJAnNrZqjR3MLa3gk7ZHBhQxnNBXEOYk4BACpaZkZvZhqx2EuZXi+gevRrTR94Xo0FiOJITgweCIF6tjWBBg4XBU5ADYMj9PAIcciJhwgGTy3awX6RQaAE9wUcsvU6yKEwaf2VPAUZrWJx58+XRp0quRGGd//qNM+u/lgfitTBbX0c42esi7fkAjRKa2F4Kr3DkqD75mv/0fDrTLNgQWs9HCY+c+MAXwULgsNCr5i4z/17hXyofrg508s/1Zd3JhsnVCzNY4ENfrcYOgUYa5VNVEymApvuSdVJYwZWkrvSEZsrj0tObseaRxl6m9iw6wIgI4QuVeXvh92fFypymawYAhM90KslyJNX+CzTVjL/kEFmdml0rgCACI9gGSpGa4J1UTjxsghPygwarOmERZ6KAIEwQPb1hjzuoULPxSPW7cw1BIUBnT35dAtpFDaGCpnSjC4PolzsN6WMLEkc51khsOnhqPQchvbMfWRBNsu9SWVKNFBn8Y2QPk8bcLQAzQU8SRP+U+LTcUPF4mGtzrF78RsFFJzJT33Jks9qd0qvS8NNWsU0SEesfpS0Snh6SHIXsR6gOpn4Tra18NgFt9lEZtMEdB1q2YLdOEA/JzNEI8AgODvH0TrxFG6zFt51QYdndTuE6US8Tz3W07S3as991P1BrQtmJjJCwvxEkrYyQvCrTwkom1m9pK/5VARACBSD4YWqatwdkaPco3QxlUyVV8i20wlvtZI5lfSWvg4rkTAmbbi81jgACuZtdzRzUsA2f5NnAfVztYaVdW0+5DlbgdTq5sYErdJ5NXTZk1yWoGHF1zQAcF4t8LPiA9J+JHLh8MeLNCLxUZyOLHfvPUlw3ZYPuEdZOYABt/ZH+OmROYROl+NdMl3nwEpd7boRYrMpa58AhBmbKgLjL3gz/fgM6iAppRlcsGcoHW4gE6HwqS70xI7TCPJ3e8WZDqY9bfJ8Jm0fFdnXnVTmkyuQF4yJwLUJRprv1EWQWO3t0URVelzQ3Vt44AD9ud/t8wFfUQ/BikrDNHCzdiBPppnkMDa7wheTzwcLvPdXvFAMk+fmYpnem/HKMmRuSI8je06ydmH0RPFaUSZOJnXfsZieHNneEUKGmKY4BcsqGskoGcBq+Lqq/QwgHfYaGX5+myjzYEDJKo89tZM2DuT5ZZ3Oc0q3Jks/HwRxRb58b2fHxnHXjfj1nIIcjcZTh1+vGUKZbsDXIvdmYXefaxk/OrRx68JYIKtstqwQem+ERrjE5NuVZTL1mLatFqJzJN8c4U36RJ4VP+Pzg31K7Cd/xbUqiWN3I5dc0ANtrbDeUccPKdszBRVB3Xoz+9CkZZo3qtFXoRJp4YmHlJDOQzjBiEtQU4tFISkXqxKaA/PYQomVhQgbdRTZeFVsG67LQvWE5LQFEF+lfGe86Vr7kQnUZrbDIZe44jvSc1gIq0E3DsGxJQMi8qIO4EOX0UbW7pcWWj383CA9bAojmceJCKesaKHy7T7TBEKhZxzKj8cUzhnbB846Jo2l457Z+qLIofFBj4NJm6+8XssAmzJ/CVixWBdehUguaa76ItGtOafrCUnDNYE2pK6uBC84+mqJVwrtVWU5D2Zs3ffrJSlEnMFKx7zwiTaGPk0SwPkE6v1caQchLwqGi7lxaPtIM6gOGCPzY6qjNdzcySnGEYSdESvjkt4P2agxGabVSTM7GkScB+VKzbnmja7FG2UhUo0Njk9TN24800YgIQrBYJIB9EhS+OnGrgmMWtubm2bKi+y2UHWA1uiZER3ZTMJ7+IdQPuk8qrbZUAZdtnv1AqPwdaY6ESe3RYQ+k6t4AoIuSpU7I9Ih8mq83zQdM6jRNW3P8UkCpsBOXJYKKzd09k2Ar+UGiD2xIrz8fD5RL/CefeaK48WfBh5d0FRcaWotKZdijX980gOJuKlD8pgWb08VGRBCK+RoOl7kCMHzIxzlAMLPYnwSgJkC1BiGIIY0BqIDaGfYzqWACTf0zluOixfEy36tmTHpC4a2kwdUu06hf9r6/ZGHZvV4s8Iy2qBYrEP2jM5Jrecech5BbtSSVf3BPjnUfc5StkFdEOXGcQ2cjl6HlTVIjuBJWeQWhRDkCwA1XaPxihirA903OPi01VBPzWiTEJW/Xu/iqj8w2FRfW+DwG3qbZw55f1d8l7NsyRESRWsJMWshxFd2jYmJ6CRxG02OvaF3ZxM5l3K73FSGzasqcA2Eus4MM6dqKQ7McXUm3BVuWhmOiuPjSME98TyrxmcMh5FVrgBuVHUyAq4wRaMiGGsxpOLSlyikDZu/AsUFnnWzJDIjMMapIRZB9p4R44Bk3MJxAf31yVAXWi3iGvesIoVcjCgYoh96K1omQbzvZ+fIgk+O5krg2fNxPWOuNhvekC6dRrpHmsWvMeaPMv2RTa4dDDxF9+cT4biuBwu8zjHCdR++9JgStXPQuYDHhslfxhMmklci+1w3R20cudT6VIPwuBKP+/T4pRgUT9CcUF7bPFhr4DJlyL/9t9pBlsBizzM88aJZ02lOYSQI+crUYhToN/e9GgW4PF1hWWx4jfKuetqd9hicSpN5wgUEzom2c1DfcIqzhm52L+mt8ERdGfUsNInB63UX69HnBtgk2YIO5qaUpHpn6iWSKxNBR4/LJUEQq0DIzuJdJNUPKwtSAoMZC8zE6cNUxSfxUecGRNuO13UsJOrzkEi1UdeEGZ6vebRXcV1FKHc/hLTqm568CvLoN4awtIM9x9tINno22A2YabL0MlY0+AzT2nPn+kxrXmjFc4DQD5qm8s67Sp9porVQszh3JFHcdu0Wqvt6Ko5uItmlEq6v0vYEez3z9vcLSjcsYGKmPyWDpQeV7qQTbJASz8sqSlIBBeyXC9ORjlWOv0auJ/OFfiIyPD9SCDNkMyVxcPBDu3tGmkv6GbGic3f7o0958E59LGh7UqtWkz6lGoXYve8xRoU1AarxrqwPksuGhaGp9DnPSBSdKtEeSY4ryLhygwUjtJXlwLm6YBxiYdQpWmYMsOTnjxDoPp9apJ8pcV72m0E4Mq/bfS429um2CXq486oECdgZlbtpfsyo7AkGgZSpDpmyygOcQz1di7UxrvUEM/bG+93T9c0ed9BstxjiuVAfRU5ozFJwxWzcEyPnOi4ZbWcesMZwzwX++P1Lwm9lVHCxcq+dF7r2xdzKlzbPtEmYqGVQ9evje0bSno+SPb/6GB8KUpIK+1VZnNeZ2Q89hm9KGnqu46D7xu08EP8FN0miJWV/DmKcUD6CdjO9P97jNm8ZxjREoBJam8h1QlIle/vpA43Y5NXA9I36n6A7hu+ysxj00bO+EkdIama3t39n9ssBPieMEEpRNjQDp3nezHwQpfdXhl3C3ujxicAtD9enh+T0RvktFZ3WE+8rvFGBYJIB040O0TNM900egoj4AVp2qLrD9t6d3PoOKG7ToyvPcMBi/Utm31poRhA4GW/b6shRI+rlwgTqsb5LfIgT5/16320dZL7S9/0bCdhaASnkDQCgVix4TLl/mVyNsbirPDY/Z5d+DeDPJ5ukopxMaAKf9Jo3Xf/xgsUappD4PBxzynmkIw6KJDVLXb3lZT9wb6VeH9JBcN1Pgncd5IvBxQhKoE/VooOQ/n/Ze/MmR5FkX/SrpPU/9z5jutm3c+879hAgAQIhCYSWM2NlrAKxilUwNt/9BZIyU5mVtfRMdZ97zq0/ujrFEuEe7vFz93CPYEK3Fy8bFIL1J/sFvi6hyyaC9v4aj9S4PhpGm5sVvK8Q1mJ8uygtX9AzHDgLto+3mVv4TswG8dBkDJPbexeOEzY14KN3OZn4yY8FaL8bhgm9mTWrerPtSu2UrWub7oso7mcBbgzJOSjXdGEs1jKrXQ5QgXg4Hhcrd49tCIigWEtGjgAq80Pso7I+sN4GRpvtjqXXmMyxeSak07XgI2R6rgtKvRQN4lNp26+WDQyHO6OFWpVViaymHBc7lSBKTrWFN++8JvddNfOQDDjmCYT2C7rstlO8Dagj0g2xaCMYavt7dOUE+nq7WDCItRQ0K3fEvaOyp7ZTgnaxy+h5uLQ5p4+Sgz3aOWBzsjRerg086KatmxhttZB5tkYOqTUBwSSGdxW9mYMQaT09oHt/tFvASR4YEOBMLjY3WRXgn6Kd7BGypuRVv5YUzcKCGbmdUt1S5sz4qHaDhcu5cJ13GrToKxXl/NEecrswLZrLanqddyRySIggBw8JTQg0UGqPjtmtclrC1kTB11bl+CoQDYlU3XFlrHsj1OQdvHNB1L3QiEaN6PlMXUdzP7Y9qCRJCZuyUoviGC6Hu7WZQZLg1L61i87YxqjsWPEvngBsKU7PRFTNDeMos6tk3UCIuTNZf2bnnR0oUkW4TCFNMzsi7O02weZnutEvtCxBiQ0CsQJF2+N2JRuHSqFsAyM2wD0ocIwuKmxW+O0+tjltkWIWcqTjJsG9U1MbphCve+DBbVqVD2CIFplsxVSJdXJ8Di+QHBmmXtILh02nOJw+3zohCSNt4a8lVJBFOTi5qMs0ie0upL6pJUiBhC0+txb9bBcn6Tmp4gQCcXflkRmM7Win4PANN8nnxbnWy52DYiAkDC0K+HVynHpxvNseYQo5mPKwGSApoDwRRhjJkYrDGTV0dnWWo9LhbISYq0lhn7Q63E4N1sBGW8oSsra+bEoTaYFGUZw5Kc6ljWcprUxaRsV4IdU5Nkkmw2ZZVsYmlezTVLFRnKPk9fFyKqhZdvEnsD5zT7RCNg6RQLiKKLgPtNtndc0/WBF0ZvXROyIoJKbN46Bpfhgrib8X3IURISTE8QeIxPVzB+Ubm8W31KJiwcQ6WLNwblRQ1WwWmSpPnRi9dPya4crFdrnomMAbsBqCkSO2JMROj86Zg7PLkopYgXMPG8+zbC1GVDXKLcENl/xuvrOS2CAnoH10fzx1S71g45OOHmjaSrmJk6CbvEDT+AwjOrRt43WQwbG+BDHWDh60kILmWVk4VnboLhqQnyL1En+2FNumy0OwNvl1NrQlKw6Y6tHbJkYFF2GPyMlZkqsLDdxZ/QTNiJLtK00N+0zqNhheOSTMOnt7DU3xyqJNdbataijTWTIE9miD0LvjqtmEcel6/UaXJurJMpcZzcRw0FBRGh3YQ9pcFoK0CkvzjCk6gZz1nYGyCrDG5H4hFUKXGSxrRRi9zHHC560GOxWLoxAna7zCtE0LHIQDfPAaDplAwGkqlzhcCMCIiigVWsFhMp3CB26c2rteJhWLFdydwJUCJxoId3Lc06yEsfwiKaKbXpQzu8AOkjqBrhgRzFzVPnVBPJpnAK1Vr28ENwb+scxoex+X7ja83OBOzBxvvvWasDu20W42XN0UOq6SV/MOy6cVeqKZPaCFW/ZYsfKa3QW8H5WrGdDukD4Ml4D1R/9bwYD/I+tLQzJJGTC2G2bJYX9kL1AjCiwn72yiW/bW3gWORWKmcoMvxT2yv6wLmGDpc9KoF32QjxPINNU1R+34MYFK9o0mMLLL1m0/DTLDgdFZg7H7c7X0DVuPVrBlWIwtywvfN1ahH/tHszJUb2IoU98pZM05nobalSVyRZHj95BodYNiGOr4wOrMGnsvz/cTr+8XFS1G7epCwct6GrhWOpt4ZxEXLq5sC7CSdYNXhtyW5LOahfyLYeR1MCeczbo3DWc732PVidrbJJftDvCxcWLgyE/11bpjd9SkqdU1vKDsLHNlMZU1NoeJskCwWpovMqZIMWa+Opdp4wzjUTFTcSbgSqGfFkuWMPjZWg6mB0+rkYkZG+2ShxDBFC5ezrVzja0hNj1MsnWmLuq1HGm9SnqTsMQ98UzqtDDdGxaqb04s8DJOKw9pCoxZuJGJ0SyeUXw0qXlk4SS6bkKZvdWb/rApVuzcxpUwQiW1Lw6BI+jGpLvs8kVmcKsaDEIJvGS1ZS9ZLJyKZJg0awZ16WV0IWLa2xXt9GSeME+9UGyg50fg8zIaudg7M8hCNu3yyLnLADofcelEHiVgKMMjwqdEY2INA6Hrje0MV/07OGZI7AytxlcHa5k2NYZt8mCfT5OGPg7Tg1p34jFDFBCRug3uihN9Re7sieDYFnBi5VO86g0QoJ2JWQhMrnXuOcHxt825jnbWFEyc+EIWjHwy6t2Kvtpdh8DtKNhMr3ZXhMSi3KnjdTCv6o3ZXNpxPk792XI+5JoHdGQHdGQF3GPBPS5oUkHJ7pwvF2kwrejgVLkhOqhW4BLahqEDFcvYC+smxwMs9sNKbNYQsF1NZ0stMuxgF4foZVCJU48Wh4rBVUrBFSxiIrOJF80ysRIL5TNEy6lsMlGHuVEru9ouo3geEPN+sqwOKp1m+yNwEd3JztT8eZmcSoc+QMr5cCCqcpkI2bm9LMKJfuhYzW03GW1T5WpOpwxV6ko0heXybGy3LWXMm6xYnaepj9mLsNkS+EFJSLdleVlawPv2EkUWDdNqo2pev9xByMxYcKcirdOIL4Nsmx8xY+FRBGasM38o4O1ienLdSJqKUzo9rebLnIJTY75cNOtKW/C7SX6KoRWwSh3RbMgE3wOgoYqQhWpy6p7nYNzgjQrZGqyXzY49DyunnM0Qj9lqVNMsDsLEDenJBYQAyW4veQt0EeVwtlhC0Ao+H1AvW+i2j12weNEpJXNOiQW0O0rAY0ggoz/Hep5dlqsBprcsxMT1+KXrzWx2qaudaWeKVVkh3KjBbudX/V5zZEalobSWS0XkIGuVGygcnADGCJaL4ml/WZXuEOGCMNlgFLIgQOCXL5CT2UBNRs6X1oZbAmBEzQmYM8XiXOOW3azsS5HxZpEeu62D76JhfUqEBiEczgXBC2xQm9CwUV7esIeLEntDEqWD2NjTgEBELY3XzcqNQv7gouJpJfgb4UTLDTlk+zMnw6XrpNukO5Td0TnMUui8RQ2V5Kb1OZV2DtlRjOW6InDxQQhj0HNyuacRZQJ5Cx4YYhxFDW/Rb4I1fIKdTF2y565bibZDLFRTtpg0gkOqSOycQ6QSTN7Ca45M6teeWS0L162v60OXu9986M3izO6bXBPcNGIWK7Qzmg2wNyopaokpcc4OxKHdSqm20IRVVH/VTSXcCbr/szdcf5aB/WZFx20/8Pus57UkI6/qN+nP2zNvkqAvGyt/+0pq9ztKIt7XlYyFCPdhe5NxtZ+66xX7gdaxKuEx1fqcZH1OsH6BtO+r1vhSucYfTNz3lXB8pazlB9L3Qys7Hpn8r13ZYRVk9lllx/Xix5UdBP3HV3YENoX7jI29rex4vPpa2RH4rE1grj1exT+8SrxWdrxt+F1lhw004B8fd/bmSentg2/6f1uw0Y3DV37h4Xf9K0Av/bHhL20Lv9VpBHmS5F2UHW9T5XlL9vMhEqHtPVXRMQPice2sTnoAfy9lG2DuACmhn1Vq2EkN0F9vAK2A4vJhUzmGoOxfxpeQayXc+Pb1epA35cOBFX95GsfkL0/PDP/l6Tqa13fufN0OpqjCvKyBTj45oJvHAxueogrQDl55Q+ntpSTPji/v3Ohyr80/P/XXX/65YhN/rGoUj/diEwGuqgD8ceRei03cFmtB1GNzA0b1kMl3+xl5WpQJ3GmLowncvYXVu+mS2J0mGqyQGLNXFN0v+r0Q7YOTskyPta6ojLMyVYrufHqaEIeE0LcmLVBWkK1V+5w4m6bZnM9m65QTvIwsC7X8jDrXphLESxgesvEfCIJgHmeOzyfDiepEIkQWhoolQ9gsDPs1PMbS9pzdGLl8PbltPCFmtaSxmmbCccns+aQdhNtMlEU39dyz+HxSzYQzVtrs9VQZSgbD0BDyUrNeTiqNBe7y0r8egU7UhheGKbh5O8lG4Trt+YScUMgjjjPo45G5bJ77Bn0If1ofe7nktwmUskutQYeZv3PTeWHJ58lRq8RYFdR2s/RmobLvt2ovT9neI+A2a8y01MVTs8G3KqqTAUxRym5qW9RBTgWeXykEJ0b71I83R9HdFax1SRMqcW16u+o3+pEMZt5S2Fzc3Qle0Kk/9CaLTekJxur7aF7HWApDtDVtKnLAuVjiV0S8w5LU4ybzZsjzcmf4XVBMi4NcRJq7ipxitRbQkmdckke6naak1KrSayFalgeF4EXa1LM1v+HPjCVKJaWRPl2s8wLPdm6ykS5LRUHb3O0SvfI02p3P0A2jzt20j3EnOUysJF7DsXOixkIqWZOZPg2KOhaDtEKa9b6Z1lkxbTBi2pu7bcSeLTxWNTVR59Rht1/Hp8LCJNrfoZQSchAm02SLdAENJceikY7VRFnJ8kxMKmHYLvLpeWsd/CZ3E2nGFgm24yG/p+RJG2TnrX8o/SEaFJyhh2QxpBZPJ4vW6TZou3CoY4+tyizNmk2ueBif7QWjabaUA6KkpZd1RCDPoSY86pBCL8+GLrod60DB4hRaVdjvkpU/qsVai5aGuFI3NYLvkx3Py8fZHrJ7hC1Ix4OoxYAeW5JZgmATWDR3yIcF0fB2s2u8pmtyeE5Nvd4bznl50Lb0dof6XbKz4y1Lm8zcOsTcUcl5kd9vfVEPuS4TU6iXYDTbNHZPUmcjnWRhgNmnmcXa/iGTer9f1CQsHPDlsWm3OtlcLgc1wD01mLLyQfVnHkpxPdvbas9kxKasMcXGW6r3Q0FazCbdRBF6Qm3Y8kg0wzm7lAzbUGsMlS4XVZEunnTYUnjWeoouRg5QTGXXbKJBKherRlkM+WLAL4vh1F6g6ZYiw9aHd2kPlza6p6PDCc90v3W8xke0BFp1Vetu/SXdLCRaOHQRtWX4KURG2aHCHD1cVlSUB3s1WjGXKd3ah2rZkhGa9hguAzZM4SR5NJxv6qY+9M1hGRfINL2IM5hmzakzibBZO6XSAXdkDdgudQgu0UnY94S1CtNg6eanJRkWWYfHK8Y/LqFzLwD7R586c6PyK6jp8dYlOD2QFYulLmeoOVwgij5VoZ16NGGUmeX6/ck26eXQEMl2m0JsMzj6rnOyLnGGIIXZZUCyIEwZ+IHe2UA50p2lIr53nPCu1+42Xpt7AQFbqQAnfXWBFnguokJ3XNaQSmA6m2KDxKi7Zc5vEnJ7tnF/mCRxbwZyv9MGcm+1usxgGONLymSo6pUN87xJUGnsBmKzybilpKIQO6lbe0fD6fSYTMgL0tT9UAoYqbf+lKlm9HqXTfYtNZ/2dbCoqPOmJqtawi7SqbHSiESDwMt2stkTXiSF3W5HcpOzC0ME4kgqyaY7DICgTQ20opfMNJsoAaueXGVYAmGLQ3tpyUqP5kPi43mEs6oFk17jBFuNAopUTy/ejm7NQa4bSqIujmR0kpmt/UQoDjvGbMOd0Ogwvj1wREimzbHmDLNyPG/t3rGeURBObG12QsXw3TYRRscpPluj1qS7YbvUZUd5zdKIdH4+pQ0PAeDXJCatt9LNVkkBb0xCHG9WUKxdMf+ougDPeXy3Caa3E9oEzusUGVu6frG8n9itc/8X0iSEORfALPAP+gMMw7MggOB5DlXasTu60oxfCZF1PE7TQeRCWZ9PKlkaWGgpFlFbM9qROkrEihcOfGfyjMGfLIBrcc/0vI8eUzU6+HNUCySqSsNsqR/boRA7MXZAt6fThD/48D7e8UENemG2wK4b60qRZ1y802VpyqtVtMgO04frJ8JVN4m8kVOHt5arij+tt+34X7KdNPlamB1hWsQQGd/uYrGyuYDHTP6gKXGXvv7fJ/coCPjXityLsfna9t5o6Dm1ndTJuW7ONdf31lIplrbJrl3K2zam7OKdPDvxeyKtj/qKcSdYrewKjFvZYrPfJUV43LPzCbdWZl2WXWyNUB0xkMSeufaxlWDLwSwLt+QwDRetgVqboOs0VnPFcUwyLhmUqj9os+D297mHznwFukLzOhIOx3SlIs1+e5D8YedgRr83lVCvp6aml698ZK15noz84OjszGIkdxvvyVGRIbF3sWOzPh1NMu73GibpoRDf/oakMDumLbndUXNJpmOmMUNNmU9rHQ2UwusbO6CiLV7bRCpeO9ae/+/bvOOuNWXKsmZPV/QchpugJCu40zW6hdvQGh6eBv8nbEWDxBVkXui47xz9bA1LB9n4NLQjbbhfEkNNNqfURLdyJJCVesFV3OMX2dS3cvB+PAC1VZIOGXDiHKbLLGFEoIYy0WnCTChi4cDI6RlBlcU2QylnpzFsu6YuvuKdCYGybbyaumrq9F44KA1zdBWNDStB3aeVl02X7lHiTc0Hmrd0kY6QG5E9MMqsWlQbqzc2LkLzYtGF4SUd+oNpznZbdL4aJ62YZj66Rw4X4Byg8oKieA7W+RMAZGeVSjoDt25hVerBS7qiuqSYaTmit8vcPSHSNuAEtxUUDUJ8kMMZLhdQRZSoDpEFgGlGCeOwZxUHhVK3ZCnEmijFMLVdSsIZKij0slkA1Z6jRCqZagjPjUoPpK244Xcoo3ABIqV1vhKg1V66ZPOglTeoVLUE1p8Yb5YNNDNTt8Fy7WbNYr+24XK6QX1FfNEbmqH2hnRciWfgopR4+WY+mqpq8+RM0iKR9dc26yb3uWRo4djGmTwPB7vVLnMI8lM8KRiq1QKWaZZ7CDmUZRayR+CNwwYq7ytxx7Xny4rfu5ro8PSqk0EMol8oKjjmJqqwVAPR4RlyDT6IuuPeWLue2fktRygSYsaXlaW1y9wsL/5E1KDFiFPsfEvZwDpLkwWgK8WnZSg3wnaTmaTsMmpRz0SUJ1yBJvJYtrUDjxz3vOe7aZW3a2Ze5/6ArA65aZ7dxRmNCQlAqHgmSFsp/KFIug0+fmJ9Aojs6eBYAh1v7TDrqVOrUeS20flR5xuRqpwTvo1Md1YVukStSGJn2pVynnbEVMO0QzQZx/JQmCLQ1XI1HVhRkkNk2IdZ5woBzNtpqvPjmE4rZ8S00pYqVpzZIkJlgl0f9MmoN0i1Liadqs/ClnCWobjE9tiSP/vZxIzYzOQn4QzTeN5YhppG7V2F706rNNtQ7VZVukvnXI57BIzryhDDqW5qF60VKWgROUHqn/mhv8RLKK+HZ9wcYhC5qAMlYmxmndGDps6OUle/yp9r41AW9lNndpkT80es3ZHVsQLetmhjlL9QG3c1W05tbDnF+o6iPXjqL/jA13HcLjUjWu3YLc+Zb1Fkb+LlQkesXgPxQ3ySgfM+AbgbA/mZgaOm2UmtUMsMW7SCRW2mh63OZvllcObyxJYnezIDc1xxkX71mYEA/6/p2cyB99pgWXp1KQ9tV80OAguCbRt47NWpnabKwLUU080/eDvpKtKyZ7h/wRrNVByVozdhtNSBDcRwbTvY/soY8suH76bdaWd57jqt2Cq6sbvUBw7WeIaYL/z9VHsPwCOkYsiFqK0CtbrpHBh0YcLbJr+q+mkK/uG7tgdjTSAdGJv6yNnlar4S40wDodHJdJDtRdqSZ2OYTYSuOBw3RD+MMbTYHNxWCgk7ouVeBj0pmMWF22H0NQDegTE36+FUXOytyWdbPttorvwsC5cPTDFUm4nQTPV4z/HGIhz1RifTbSxxGTY+vnq2u6bbO0DnhHZinme6uBGuuKP3dHi1ASgUGQXpD5iF+b66XyzmlR5HxMwMGip0J1d9dARVTIj6oMpuv7tg843NgniXJ/XDbKyEClmn1zJk0xwwRXVdh9/BMIPvShBCTUT9SB99FoLULW56JqNqm50t8LIfn80VbC0TSTbMXJUPmteSCNvvsd5tjH2ywdM1FWBDIKNtVKp5bXSpcJEzNLLxpGnJ0j2dWrPLpgTdklrM+FO0g9lkXhTsVC0JtqcXbkg0gmcU5vSSqbilo+uVbLCpNc8VqhnHoWwtuYF360SE6IVnsWlkSxTww6R1Xa8xH8tzlMAZUtjaZDBtVQKKkaaLLpiyb4vtiV6YjTmQIq4vELnqd8bC1jQREi/bdNMRvkivYcvdMW3ZzcNg0GcLHbUXjdcLYVMZhAQcSOB7ujRyWiUyuySFFYkqSqe3NQvN5B5FIyw3VnBvFrK5gZr1go6VNgxU3VtSSLfNhMspmHjxANk2qQgHWBc2B3VF8r7fExrOomzQ054l62zuC+Redre2h85ratovQ+rcE+JRKTggZxyeHedrKOhnSW/zY30mzGqFJTUrDEuMDdTRmMFiExrSDjIL68pOS4RaRNk4NYjIuJzY+dTFoc25Pwiq1kiL9hK4EohJmx2zi7HUUbcYluPI3G3KswKsHj3zYcvG0CLrz2g1m1LDirQUu4t9OovRBBlrdYZ6fXD5Uyzz1YI9z04VSxdb/LSA3N7tD7nmGenpsKgI+XA2z3g2g/126kQHlwlIZo3t9PMRRuQi7Xhsqks7gFqjr67uzp5nb0zQuydBiZIHcxG4Qixz4OLCT/NyReCSCu1Ve88hqXRgXKNFDQvKsr5Ndj1SG4q4hftpfSBUfdHmEKfpm77Ocab1TbFsJQaK081Z7IikzdLTvD8iO5OJcQnZbIiFL8YC3/rD1rQ1hPQ1U98g+gLEHiKtUJ6xMcvKV8/9bCWKAg/viakZZMRapEzuIuvyUVSgYeWe57U6AXbFoPF1kCAI6S0gECH6Zy0GcTKgt82KBY34YD4Ap/l0TC6wJPhsFRQtcIl1xmqdNpSXjUqlHU4tFwZraJOrL1FLSuafRUTgqTxUeZZ3fbUugUNt7NcCiIQNLlSmXWtJCmrtAbDMykbQp/aGYnBne95VcbfSVFQ+OyFqOCtMJhtehh2LAwbD2jL+BdKP0mrodJKqM1pJyyk3QvJOYKLG1ezRcgmBpY++gIP79TlxewFgKvDFtI5qlXDS8MRwQLk43Eu7acGtItkUjopQoXt5AiAaIpvkvIyPnbFixKloh97oqJyTLU12JncUMYIs5DxY94dqYurTBc9z4aTmbCjeTsQVMA2Oi6QcxU6OcSAfV0sImo/rntGp47VmfYgUTtle0slkchYG156jSN7VKCcTyBQmUixMqY45JqfVqdvp4TSrQ0ua7Rda4EwP6bDez+U1sIlrO8H2s1g37JXGASGes0txyvbblj8lm3HZe8TqdXVwgGsCdDDdgfBuEi9Z8L/zZemK+81FhU7Lx5gr3aZ2ZHkwccL5CD20ytpB9p14tx/ATsiSLU6ENqpPe2mj3uKU672VqmHdVgZtWOXB5wUQ5AmHbTu1+WZv8TMOBn4Ho+JbMxGv/uAHdtxnD2gK4p3iIQa69VvTc2Jl89v9wvIoPLAq+KCG3UIU15el47oLYi80FBwNNsER/OnGqbIYWBRY4U5lo/2UjfTDqbHpLcBANr3+vdvMsfzSxBWPe11+3k1taDHdsiphl9BMswU4tGM/8oER5S/5hFE/MP5xFyE1vs6ZsN7410vXWBDEdAWtnYCdFQ7AQb/seWH17GNPwasIIrlTzFM7r7XONVU3jt7f1wVSrk/XfdXYB0YInQbhtvbVh832OTqP5xN+cow6zihjwuYtL0P9cM6RwGWdiJQz5giELjnKRuldOqOsqDNyAPZoImL3e+ntHvHn3kPppaL2xsVfT9rcrJfkroQ2XWNSpYCoR4Pf1ivyEK+OsgCwaNKxHl3Ee3PHnOZsAvulQsck3/HVDjMpaLNOiR28gba6z/RhjxE0J/hCG9BUs+lmTbif7CYqTRNeMGe9revyxa7LRZVwJy0St/xG0Lb0kupPtcUrVbMecwhVsWRmkRQsmXbXLHanBj1t4opyecRJIZHyuTxtp+GCjBbAC9DYPV2QTTEv7djhBO1CWht+y4V6e0IPF4Ji/TQd6qMoSTtyNrG6ptmdzWFeuheMLaCFrbg9ll4WJMzQ0/1khuZwy8QzqDdOSijj7ugbAD+JPBKGs9E1P+uORyI4s4WZXdAzu1jgAbfnj4Za8Hm/HYKhWVTY8sKk0H62ZrKTvPAWxi4yVeAG7BGHx1ejIlgSNxbbERjnCUsOOuEGvsbsasuhIjDGJ7ka0AwxlifJQXW2T7ZdO8V2fEpTylD0QUvLHm5hxKacX+UDW/Q6k04lStmOjgmrCrnsibxDdZVf7Kquh2lk1TjpmpYOiC8QbjT4mzKLpflQSIuktVmKCVwQiy1ibtjujCnGA1t15BWDHvXFBLrE8DIwLnm8H6bNJe3Oh2m69rtN3UrpeNadeujnCzqDlG3tOpwFb5GYvPgtkwqQujte7IG0nYxt+jwM0HNO0YBmy1Jcsq8myrSHyWGV4e0Zpfy9PluuGhEi0pijrChfLUVfzdpwwQHDRIvcbM0H7iBSBDytzRbYo3PEp8d9p8iNREg339ksT2Q988jTxGuXpkPgDWns5ZU2CbgSZnSeqpfXOOe0R+pwBvx1btN1osTrXLj0cJ6r1kNu1MI0Buq0GcKNwOlXPzvZ8Ztycdmf2JrSy3px6heb017L+PmR4E6TW1xrRMDf4s+bUxlL/JoRTtYxJEyOG9eOzsS+Ec8oRxFhHgfcinHyLQe0AZA2b8SSlBvunMgUCIbBXQKYPV/suDHWnDczNZzXK72RbUXqxOWMmh41d8zjGWU4hwz1OC8MvVm54K6+2PJSqI22BiBAGIF/NkIZzWKcW6OmChChiyRB4FaOAizfNuI2TuVymXFfc8Rn0n3NcWrvtmKwWZ9OIHy8nPJ7fFgkRZonuwCS2S6vt06/2bIzbfIcn8Q7foKF3KrpZcyLt6uXmBLw0R17J1xFhwroybSbL674bkPWfkaF4ojvlemsTt4BBHdfwnc6OW3t6PIuXgV9z+mqnExz5VBh1i5z2S3NxrrEIZ0niV7ddVId6eUJUhdlJIBYeTRHCVGhS8nt1IGrMPK4fbFDLzap8Fe0f5zNtxe1pgXgfVrlntk5mzI6LwnnkqvM9OxRirq2OFU/SVzxuTlKAfoZtDs7YTMU+Cba8/pkQ2qZ2+sHl9MTtISmK3H5Yl93s/3S3Pid5KLYYtGuHdEfXv8OdgMmOE28GBJvsZWcbcB1S9YxgnqZDiXkrvjKFfSNtEfsPaFojUiIKFVbKb7Ym53EnSpRKXRlga4Q5XJpZXUiXI7UoVgj/Si/4JDvWhspxdZuKTTSmDkln9bINUaED5W3tLvLeA+5r4smlV3PtpdqjTbjEYpRrE5gaQ9d1yrq07oBkyhBOGAOjxmNwve1rU17mh4Thzvhx33BdwGJLa9rXSVAyGLWKR4nqMe9ArEBeRuTqUpc9sq2k1liNl9VEuQB5Qbyn2OLGbWu+N2K64kZH7Q7aAP0YVdVxGFTFWlLLtRmE6PFSaXDlomczBy83moaiAAh/xHC6YyCln4X4uOXaMr1kqBzL9jibIqu3OjqHyx9PSm3jDlhp07q9VsXRnSEnXbJNlNsSjhOEaB+x4bGL4UqAqe1GJOv5AGAiLmos/qIDwdWp4qdxpxcEGMWmQrDwo7qg1A/HtdE2o22THWVzE3nKAX3SxPa+nJJBiZlRqQv9Qa5cErcnNpqZF4qPiwkFrXlce2OW893qzknjDEeB0WFfNolCIarVLFtenfGh5K+WGxklPf7uteXbINekvUkadcMK1X1wKgqO822JkceZ4W5CGUIQphEkrwlEhHqCdhugvNGcQmN329O5mPbeqjplVdU6oRKK3yKMX2iNIeDczAQqieT1TZlxq9pmqeGTrWkyQBkmr5jH7ypqQFf6Tyn+skxAX5TXVX0jjyngVoAMMGNhZnlxhBtbL48ncxleEZlpWWyHCoqpkXZ6XaLGboPMeTUwpR0gGCT3p/TPd0k1N41NyI+4rja1iKCg9Cp6f2zVbo1v3anZ1ffpzOS4dvpoAb1BfGkFa26p9VSayyUWfjJSVcGksco2GDTNFiGNaxlZ0emTePgqj1Pgiga4/lJuKUMtWdnG5N26zPqU0rubxXnwvJ+i2DHI+KnCAl16narOcG6kTIDapEINckpvQSzvNmW2DoYuNInjkXQnApl13RzusCWSd3sWrEPGbe2LYsDKn7eNMC7YI8A5IJWQ3rr3J8DJ6k35e6wEPrLvEGHya4E87BsVyK7n3DJkTPo0z5a6DvTcdtzYtMKt4qlYCse8eWAbGnUJ7a5LCgCpw6QPmEX52Gf7abEEdiFYh53GohQ5tDABRukE4FuRxOznOwnG5zczoYZsrEKF8S5wDnJOX0z6foZF8qBibL5IRcZYDQnvUOLXrnq9xfYn40xlml5WzuP0oAvrE6ZqQshvcYa+kVNLU2TRh0LUfJcEpTNpGmbtMXyFo/OuuC4NlcpI8u65HuzbRKCsLtA5amkJvKdVj0UMouRxTGnFybsucypA4OdmwQuNEQ3JqEy74LuYK5mo58geICYOEzbeWFxoJlajYFPDDBkEZon0IzMi4EfJWxzzucHGLPPGayIoBkh2jKav5SAs4U0orGQlxqxdVqLQ/SmhPbH6amLVvwlXhpbsuyvsfRs5tsr3zFrTpP2lTS76K2azjhmLWBJvxIBWYu0Wib8SoI6aKPwLqNeQPSLXXQwrzBlEqAAZEE8HNi7rCdM4TKvYGLNqcsQBNqrCSufZ+QMeC4jRhbYHsStUtpTK4EDToqjJdmaatNUFO65K0k7zTWSAIGeOJvuQtmS9WSPXrrVay5ir1pH3xEppo4mnEO9tbMRAUKkq0yS1e60hOmLAGfqDiajwrjseGI6QYVFdxTFfp3H0301nakgpm6wYvryhcwSGXOqNM5sEPFei7QbffUpXs/8569tztmx5sZn4eni+YvT0zGGWnvAyz0/f+2zNXwulNrgYq7uXzdbu8qeF3c+cvgR/Wmzo1KO6aIWBtBwdpgDwuCHnsRipka3Va2yC9o/HMrUZYB/uYbsMJWWrXJQDadneOsM6Rm6m9k7ENOHminUoaul0MwCAN/12DS81UMtZytNXkTa4Go20sf6oZsBZ3H8pu9+L0xc3maDYyXhauItF7icFkd9q+XlpMZWzOVCmDUsNauE2smlr4RaRRgcTIIIxis1OlbCwsNgIhDzRX5ZzSRfMpppsjicBlo+4/0cOPBC1G0GFsF3TJSic5ndFe5uAJM2m+xTIx7jPCaL94dDtHc4AAONu6azxUFUCxh3tFxHrUtnbgnU4Q/rS8MNJUuWC89XsDpK9RDuukg2gouoXcRwh/vbjirDzeAPza6ARSylkBPfXarlZS37UzlwM8BBXe73YJ5vvGhlnMpDIMiBb5aDI5oHF9oaWM54/RQiZk5QQe1mF+DoscNcNtMP8dRZsfESyKyg7VPca/a2U84qXRFEnKTawXY3GyuLodleV2fIHGiBIYV7bAMh6OWgdfoU63THLfpTScMor4zbnWogqtjqpoIeS/uZduD2NeEYzKTM6UTv5YvUrskMU8ht6Kd5hCwN5rg3VozOxdmx7wNmhZw4dljMuH452hHIWY2fc0dgWYlgkU7D+NS5zYGpJ4Pra2HuS/xFnBHq2nWNar9a0qs9cN0XmGTOcaGhp+XCdPJ5PBDbGRtNlEV7ZnYY7Uch7BrGySxUfZUGxzhhLSXCNhXe7rqDMmycQlDD/R6T8NnKHvJsXVanJJ7JIUGoGwPNM8WAsvrU+ZOiUlKYKyGkP6kuRLOHwS26U0rqWuOHTXcSly2k9y687eDNJdeOA5dX9Gx10WaQ5s3orQbwnawGwhYvvdTzMZmbkwoJWSc9A7ckBB4kZpDqZnK8zcNwzGmsoPqCxe2tBuNIAB9M0VkNmL7VbR7KhxmIY5al6xVqdy/nEDWON1tzaq3Eey3ibH3kFIHCJdtgbh/7E0IBvEcjF2sz4X5Qfw5BWeZ4cJreGZv1xJr+yf3/0/wmrbyXrH0kL3eUHGQWvTzsDqTYkixszi0IAk7LCp55sIK4Fweq/YEiOJJMPVqtUOAoSfsCsZY2DGKNndvaaErWPZpaCQprlXIhsWGX+mu+WwNeMBChGGtk5UsFNY9QVCsScYk2cD9TUOXkzVpNCgo4aN3WQmQsKFqmnk8LHfhd+6E5GAZFLko6omPPSPotuuRh2Idh1LJRaMwt7bymsNHSn58JB4YVlLpMFyYxrn9jOFT38D4mi0vWTEv5IKTz6WAX7Tnc4x3Jn3o53MgxJ54pMdrXjGJNlK7IZiBmIirW2kjNBosv2wweGqrccPI645dGqDRnm7awxPEpcpPgqgHp+31qI9SwQLMLBqfmZVKZbb7P2L3NybMZny9c0Y4rYhHEEsScJcXq4t20MpbneZN4Z0wZZNtwQj1YVXGwZKHEjPWtTGGXzmaFVLZRrOIN9bTDQXxExdk+E7ezuX0RdVaXFKVng3jpRDloDmrDusGWWZAbZZIBETkXfTdlljP2vKCJk4jZInDlORAPBSG9PgqESImng5PpWUUVfM7UwIdc8hfPxDd1vJhYVsB7fuVkADYwTwlU2+7hcFUn7VHgDsyYCwh8AqKkfr0yXWWdtBYVe62vSsBp802qEOzzGOd6zg7dJw5TZyFanyQxWHWDisWewInNURbMMa+BsKhA7olkI2b8IVGWbQzNeQS4P33JqHMHgbJdN2m3QrFgnLJcJNsxdlg4Z79UM41qBZSvsy7blTOazq1K6C5qj8LRsHba9Z6uBoci/LJfb1buWEOc2VBEHY+3+XZCkhXwjdN2DG9utc8S73MAl9q8yeV7jTarbAC1ZDmwcnP/6naXAZ/aKyn1zHO3+bY0rNGvtRnYUI+3mrL/Ov1Z3FyfwTCMtzCcjf946OC8tHuUeXOypInLAM/hbinL1aUsXV4OP9zM9lTVfeKDP7rIq8N/eyIIvLj8r6fQj45h/W9PGAWm5P/6P2nP22d7U761581189Ibd4LcTxi+bwi57Y34no0gv31lu8u3N7v9893XoZ3ddnt8QMj77TR/OCHVfdPKN4gh/hRiTrfdMg+0/NBta49i/q+9be14OAyfbVu7Xvx42xpJ/eHb1gLUxggKpYk329beXCU/vEp9ePX1QOJ3Db/ZNqb5dtWU/uses3f9vd3j9rJj6+PH351MPCvzpvjCo+/OJuYTu6quan2T5rtdbNfta/bjSd3jxjX7uu3L84vIHY8Zdm7bPCswS8YvnIJHq/Eg45dZdN239p8J0Z/L4RsQ/Syc25eYv8Hnm+H57Svy/CYIvYr56drzdSPtD+j9+7Ya37Tmh3b8fduI3+ngP03Bj0TcN2z8l0bclCDMzxD3dvFjxKWIPwFxcRzHPA95h7gPV8kPr1IfXn1E3DcNf/m89nd9fe2s+HcEvHl0YpcfP/cdH44u/n1iV0Cf89t2WgCHbgPmAfh532ALhrPKs79cN8NXo3MBdP66l/5l97wzbq9983np6r6v+M1p8v8HAPB7sXwDgM3fxbL9cEbCb18R8TeR6AvdjmD0xa4fD7D4Quffh7//TOfj1uqv9fx9APxP9PyHQu8DA/+1oVfML/xn0Hu9+DH00sgfCL1/+8efggCBnVRvIOBrugGYbZKxKSBshCZGeC/uQv3lVXPQ71QdwqVBzOejjP1OdewauBjY71UZ3//1+iK43xRJbo/dmKDvP0eL/vHFd4zGSaOrpQBvJWkFbEoQHa9MxXW3843TCqXfNfiW4bED0HxVAQuT3szR/T62s/FoHBA3L/zXhq+qe+Jr5Xj9cMxoxC4vb3nLFXcciOe3PtlVWt9eOk/RZj+WcYxDWPnlQ4MRPZe4wiaa5f3e69UUL7Fm1C0wftmnzE5HYSh5FYJrgZ1GSf98cRslSWSno4T81I7GwTmB57r7ZQAj/5+bp65d1b9lfg2eGg+rSYtRp/4DuAxV3XiA+1eCIwU3qfmKWLHg2dI/NxEAvU+x37+o9cvFoszdOi/vN8bhfP5Q1PsJH5mHvP14wgMP8//uCU98POHx75zwGOb6HoIizn+HCQ+GKXftZw0q7KMfeZfroFU3dXrHwfUuENr5I2U7P98dJf7cDlDk+7NXRVdr/Dz/9fHFX1GaRRiSJBAGZ0bZfPb4L98BG18AgK/PtuoV1D7r8SsY91Wc+v2Q8wVk+8dIX1HkZf0sXbe+cE0djpIaRwOQfR0qMKtPfUeGjB1eqqTr2qDPEKQ/upGbR6fsqu5+eWf0RZeAQi/LvI28kSQwh+/quHm4/I8Remyvf54MNugcDOYYM48qd7t44+kFfd5y9oo+DMMyFM7SOE2+Qx+WInCcIYEWvKIPmA/1p8RusnEaPT6DA8FcLwN0aEZlQLGbCid3qBij96a8/6jqMiquwAGinDpPR0rv8AUwJq0+2a7rF1cKkdE2ufdGn/mIGarZfTfO/y7T8RX1ArfGQb0NKKcqk7XDHajJGDpHI8k16Ocl6Cn9Ub8BJt4Cn9si3A2GXzXxE3C0xzj4jTr+7Ytwsaluwv+UFy/33j56RY5HTX8r/2d9/0j+LP4F+bPEg/UBcgHq6kRJNBqRv/8yTpBPdf6pKnx/1ImbAQQcjEf1tW+7IBD0euNG9wNw/P0Xp4mSkc7q+gWzUbLZ+Men983fBvd+s7ABp69dRhlQq+Zmhz9rcQTUOvr4xjiX/I9eeukpAHofunbpVTcSrsG7nQAdBq/9x99/uauRAfr2w3ykanzVu1owcD2s66L6Nxi2i+i3+2t+O5rW8fnfgLLCb67CLfruAojMgCUf4faNkoH2bv7IL0zV557za6/UgfBrwE4cCmc262KTjoS0Nyv+H79wL2MujtfAvdcrMvCFnq/ORrP+/EPzvch+/mFFfvf8t3GDutvPv/3jb6MEWmD2o+yqd6lfh/k4mMDojIPoXWXwu/AjL492Fg13M/iL1oteAzAuL5+M0fwDyeVXg/kfz+ZknDt1VF8xR8AZhnuaNplnj/wBJRkjWqMYpQ1MtX8/2UwYQ9zlLZx9Xvb+DkvyOaYCCBjXJPPu1Qn6AgY8UvvGAFzR4SsAdGvhE3A16nfNfAUw+Ftjj6b6IQbIjnkYKu9wwkLT4nj+ACcIBEeYBzgAwwa8ydvq1k1q16EbYR69C7spwMP+cwsMirIIif/jVUzqdV3rCX1aNdFwXTu4EZYzaCAyj4SJaGMzs4il3xHG4ixJUjhJMF8hDHshDPmNZHD8c+pYwByO4jhJfU4d9hl1jRiIxSN102CjERxH9O+pI1gKmFAUp79r2JDfWAojP6KOpSiKwdEPqCPeU1eI28CfvaHuWKntfKton1NHUwRLkNhXqENeqLt5KG9oezbbb0ki35NUho5LEY8kzfad7e724nt/BAgTwSmGZr9Pz5DfaJL5QNlAMyjQN4RgHqgzbo4+kOeyHKHU9d/TeXdeH+h89Evf0EkRIHBjQS/fLVj0I8GOCIijxBvBPtOJf0bnP75t/q927i6W29eLq6uReg3WHgKrh9hsPKXyyR3TL//vX3+p7Sr+dbR4Y3HFhzd+Da9mE9w3wSUwgUmYfLo1favDuP/7L7WK/SGt4n9Iq8Qf0ir5h7RK/SGt0l9o9bocPWrfg2OJESRLjZGAXb/G0S8Jkfv0G0Pbewg2niEqrcc0oF3WoxF7Cu3qCbxQ5Uk0zibvyU6S29dsS7v1kyf/UvhZ5Y+r1Xl5rcao86c885+6vIyvHsDtZFLQ6vMHv29L3UkU+08ViEqeQj8pnq6TfiwGse9N3U4tLm7R2NhukJfpdQ4+2U7e1E86cEKd8aPhIMqpbk+P094f60YuT8B9uRaMeHZf/TYyCIbuNkNvPI9M3x3Kxfi/lyHgr+gDyLh95jco8/TKr38BDsFI4PPZyqWdHf2nCfZvOoY9J9//+ot5GxbxNizVX395HIhFfkWZK61l3oGJ9z+vB9VGZXW7cM8G/D/3Yb+mOUbpg36vXJTNzRV74eKBDfNK7yhcGzjpd8J+eZMMeNaDX66LISmwIkAg4Of6kZWouqYhRg24pnxvAzH2/rjE9Nyumlc343X7KdplNirg2FmYd5+C0geO/ct7tyjib2+I+no7//jLM6+TV1Z5O3Gb5KqO98zh5+JzX5+5D6Rd3wQJ/NG7uF44ez+uk4dxFUD02z9xrV+CwRpHx366DbV0E8zDEGNfHmLz5cPRXu7fRvguKqA0b7oAKvOY5bqL/3eOP/a18X8d0sl79YkyN2nG+YbT+G8EQpOPOYGvc3fFnvIKCO79U9hBBMb62hL65uPZf3lywAR2r2b1dzKGfh9j/JcZw4jfMIakUeL27w9gcGyR/ZMZFL4iOfY3GvsRchvb+VPYegsIng+mxRjN/fK/m+Tf/3cS/buYjQfe3z63fp0UI+cfzJsuAtFwc5vm5+busgG7AwD4t6exIfO1CUDNaIZeYOL6kn2f5W5+PUT7oVagBq0lV1tzuzlGteP1rElHI3QF7v6hF+9Kmv2KGg945PRPwGBHt9rHl7bvJTfvGvwm0L7qxIPOG6MBFW+B94NtM2529RmJQI9//eX5KTB84wcDKhfg40jYNanxETbyD9gITMYSmIyxXd/7PlszDk5rJ82ttvbFiI7NPFchVdfmnu7J8qT/sabnkiZXRpIYTetf/ilT9Dj5rrJb593rKHOeN9qI5xvP5a1OXtfAl3g0PVctequBN12oitH3GlXv5k7cJ2EKLEY4tvDs+4Drrg8cMh3DPxKVwL0jtLp6GUAb26iKbotvL7brt28I7Z31Gsf4leJrw7/TRP32VUm9DvbkYyae8c7YaOOQXG/9Ln5e23r+wMk7Fu9d3IHnqow31b29cO/wx7H8LRgU/MR/Bqqmzn89+hmAl3GqfA6FNz26eq9XDVliOEBv3x1Xc5+i+tnLS307A7M9aJLfgzTiq0SAskcjyoLOnr2yez3VXVYfTI07lt7tzGe4C4QZ5rWfVF9S+49UXfyCqj9rCWeJa24mPunPjX8/Wv2rivLM3LXfK4v/6b709EcL8HblWXxBMu4cqV6G63sEOP2GAMdprr80/edJ70PO/tMFOHsdrGmUjN4RNYa89NVpeBXX/d7LJ4GAyK64nWcALB4C584f91bcwuZqTGVc27l+TuQjWc24z7o3/PqJfzDY3yudW5B9a+OOSZVf/1G2//tH+iHH8S6kf2AO/7ydcZgtv7xl1V+qLxZXp+6XNzUYbzp8bWl5879uRJX5mAn8dFsRua14Jvm1HWyC4WP1xcva41gDcuvsmv147ej2F/nyFzWmMqomBW7xLbloV/FLPuhWBXL0P/kAFUBDY3ncdenk0ziu2e0JNy8i3/s02pVbjWMORuZTGmVNPXaOgyvjosfrFRT9jXop5PGe2x6rX8BfnxwfzDP/00uhDP3+0U/X5M19TK59jc07eR5/aqM8eV6YvSeERpP2qRrzSl4F2q47H7zwhikUuedvP32UtgdTf1zquheFLE30tuYMrg4vV+8NMWNVy7nxM9e/CQDA4ejYN3by3Nd//G1cLV6a2Jdbob6/FfyHtEJ8uZUxIfi9zZBfaQb53mbeT64vNom9HexflmBEr/eAyJb4698y9vBj/vhDf/MDf3z/9c7HpI69Xbu5tXJ749bIrZNbv397qQz49KUimLdzByBqAXBuLAz7VEfpQ7ICZTGEfazR+fR5YdAIUrfyny8lUZ8H7FN6K+R6RoWrSJ6B4eEHda9TvE6yOj/6wHKU91znDVme3/r1/sKvr0DzxRk1tjauYF75vTX9wCtK0Awy8hr6dlk7vn3FnVulgT3Sfm2SBg/hDu78SpI++StBs8ivth14vxI+eD9wbZ/yRim8AMPdOmEIRj2NBqj67ZJUl1/uqaGXrl4GHKMZDCfGEf2q+F7avxFFUSzOsOSvduDbIynur2yAkL+ybIDStOt4mD8qyDdk9DURP/T4YkbHKyMa/uOb744VDWkKDArQuCCxjy+z7l2K7SVRcE8NfArtaqzgo1jCdx0HRdzAR22cRAiXDTAvIBCHDBAboVAP9TCGdRCapRGfccEdj8YZmiJRxMPdW/FAAoj9YS2OEno17H+/27+XgqCb2/D889lO337dfKLb34CmuHqpJAUjMhKHAQquCU3Ho0mboXEfwcFPO3AdH0cJh2A9hMKCwCFdFHNQ5pfRH3OvZv5WmGJf1y1Gjzr7dZwRV/W6lfehKDomUL1rfddYsfUyB97cB7oHooX39xCMJf9yq7D8dCu/uRZ5/f2fU8fbXH4pcPjcP/jLC06MpRK3bt/ORhanfYZ0iV9dAmN/JUjXBX1Szq9uwLCuF3iee61lvKn8S7nrrWQCvH7L4I6elF1EN/y5lSj+/cPyx48Swvj7Mt5bkQuNUw8lAK/O0dtizZ+J2p+J2p+J2p+J2p+J2p+J2p+J2p+J2p+J2p+J2p+J2p+J2p+J2p+J2p+J2p+J2p+J2p+J2p+J2p+J2p+J2p+J2p+J2p+J2p+J2p+J2p+J2t+fqH1Oup2J8AtJN+xn0u2/btLtw0QWRRHE709kPaecxnQK6BJEyn3ejF7wPa90S0DdnaGne8R9zy89JLlG7796ykEcNwY/IXAuf72FNIVfRrn329M967CM2ry+LsdWYyc33+za0Cst/6N6ej5fqvrtiQtGx/cl+TU++tDIX67kjoejPLdlP42HmPjX4xCej9H79XZg00OzX8938aOvd/f+nf4p8bNjHX5x6KJr/s/1Rz/1YWTeLlM++WmR5L3vV//jPma/PUn+Y6ZvzGeM3d6Xv15fv9FxHdvrUZkAnm9DfIsabwc9jDELIKi/dQae6++5vm8lxYD7dl2DU23nbcz/jUXx13dAcOIDJp5jx7HBVwk9hyzPBSJ/wEr/Y95r7Px65oV1XUD9fnZuz/+ns/KwQr32j+Myw50wMD15fbMw/xCObtM7Gm4r77dI54/gTngrqBsNI/Lc4+Ibzd+fLnzHzWd5w8f1inu90o/LET4slHc16RVvQ/rP1yZf8q4PFN9TJ38dh+MxEf7UVM9gd12VeHlu1O03GfOx5WViu7ebfXXLjda3CVo93H6Al/dP3jTl9yxvvsk0l0/l9QSa54W7j1HyAekA8MfZfW38ednIfWnmtijm2274kgl4ALtv5aJBHPmj4Qz7czFgMnnLzY+Esz+bFf4tK69YZmy0P4SZt0gGfv3RqeWRjB+AY9h/GxzD/nUc08aZ/kUg++sVctY3rPhXQOyxAuK6hH1faQGKI96dtd+LZs858MfCrwc8e/YBn7ymfEltf+4sfwBx/BuIw380xOF/Li7wk7fc/EiI+7NZ4d+y8gBxV/D58cz8KRDHC2/Z+gEQh/+3gTj8X4e4Z4D5CspdMelfwbfHGow3a8ij3rxAkdPfPKvvhLrK9z8obv0I45wyj/3saQyHn/v4VgXG0iR+NLIRfy4cCJO33NyKL383Q29e+0/niX/L049E6z+bFeEtKz/WIf2Imbdofevlx7MlvmXr22j9DQbf8fLD0fpbtY4/Eq2Jfw6tn34nXL9zWm8zuHrbzL8M6W/kTD7dKgt+J3K/Ftl8hNpdmN+xHWgskLTgu376HRVF5Y+FbfLPxQWR/2hgP2cI+VbJ3P3FP4wd5DtLAkXhxzJ0r0f9AkfPZal/LEvvlP+fN0P/6do2fcvJj40ZPmLmT4kZxNlbtn6AFSL/21gh8s+xQtK1cvMzE/MVQ3Wb4HdDxd/3jd4sxb3oDNiOe+XRrSruvQF5NBHfXzP2OkyPQeQ/WS72ugnnJR78oFzsw7T+LW36Lq1vOyiJeASGeB7pMCRKeixJeZ6D+DiNoiTlkjjJ0h7m+wxqBx5je46LkBiDYJ4NRnncyfsurf8vt/iQ1j+hBc98nNYnP8sMYwSK4Qj9xczw7TOFBOYEFEF6FHX7bN3fHoYKJ2kWYwhm/Egk9tlQkQjN2KRv27SHMgxGES7JoD7CYO64o9snWMImAzLwPCxgbZSmaJ8YP+5LuChCOuDy50PlgocQimR8lkBoh/ZYymcoh3DtICAC3HYoFnTkeIRHk3gAGncZL3BI1PUI5/9n782XHUWyPsFXicluG+s2spJ9q675xoQECAQCARIS/Y2lsQuxik1AW5nNa8zrzZOMI+neuDfiRkVkZVZ9XTOTf2Rcsfhy/Jzf+R135zgTAJm+E9XSiZXfICqGptDviYplCC/CI8J9HLb3kahwmsS+FpXvEREdYZiHuSjh0TiF+IiHURESoNicPjuIwFghlAt0EqUoEmNZ1gNCpRCKJRgUZb4WFYNTNEPjCOYFGIJhFB5SREiRYUC6AeljOEmw8xfhFIJ7EQsERGEk4tGe7+EBEfo4+05U+mZx+nFR4RjCMN8VFcvSJBECffimVlEEUIqvRIUD9aHYACUx1GX8AAH9oNAgwjEi8n3QuQD0G6iSS4QkTuMBQrps6IFbocviPuazX4uKRgKKCWlg8wiwQgYFGugSqMcyOIMGOIqBkSFxLESJCIuiCKFRhKZxDzyNRIxPM9E7UYF60x8XFUFSGPJdUQWgez6NYt8WFYtiBPK1AZIoQQRoxARISIUoiwMphXREU6HP0EBLadRFkYjyQ8YPSZpGMApFQoL2XGCmZERgH2kV6eMukA/uuwEbojjKRjjjIUDHKNBCIsBZnKV8FAtC3KV9LAB2jmI0E1I0gGKMfCeqtGKGHxcVReLMt3exvIgqIn3QQ8z/pqhYgHgU87WoWJyigjCiAO7TaEAjERANG4Vk4LI0S2K+x4YUy/o0UDGUijw3YigGA8IKSDAuDP21qID+YSgFNMh1PQRoZwj+pgnXJX3Uo4EdhzTARxxFUNIHxk4C0SMeQUZgnOg5e/97rbo5weLHRQVQkvoerLMh4wK9Rkjm26ICjgf/2gN6YOQZgME4wBSEjPAwIgmfcAkwPhgToUB0kY8wuOeSFBBMQAL1wOaDLCkgXYDP+NeiYgG/oiOEQEkPDCEJhhBYKhXRLEqioYcFPo3MHoNCAeoBRXIxBg9Ayylgk8BD+vRbUaXMht7+sKhI4GDx7xkgG7IMQ/ih902tIhHgSKkPDBAjQwJxaYaI3IggWDdCAeL6XkAHOBGE80e0NIApgAE+G7Gsi5AEDcCK8nF8vuJ9gFWMF9I0S/vgfdqngKajYCDRyAUXgP2xoHQqCoFfjFg0IAgkZP3QRwPfBy4DZbB3WpVuCM/9WFTIR6KaNeK7onJdMIBRED5OfP1IVATzkagI1gfEAMHZKALlUCHoEBbhgPcQaBhEbgD8O4PirAcw2A1B5yPAfxiXYGdtRJmPeBUDrjJs5BMhjQK+AKTKRGAcPZJygfwpBHQOaCM2nzjKArkBxWIYH9Av0g2B6bPBPZXMDykRNh8P85sk87ESfSwZEJgHoccgKEBUhHVdF5+ROiQAmoehd3dtgAGEPlBP4OwDYBXYzF0BRoesSzDhB4yTRYB6RCRFkiQNXCYoEQVCcCMMKBBL+BQKtIwCNsYG4CLF+KDVQOxAbGCMACK+U6JDRRY/bm8EaNn3lShyAbbMXPCbomKAR/4axQEyo74P+CNGspSH0mBgAGmmccBewYgiNEazTAQ6Q+GzPwH+HPUihGIAPWRZYD8foDhNMkEAKIHPUsBAI4rCGZ8FqE3gPrAuiopcAOOARrF+RJA+UNLQxwhsZrEAngDcvRNV7DjTj4sKODz2uyj+7oT2D0WFAofHfo3igEQiIXCVBOgLw4JQA3NJj0UBBlE4C4ACiIvxKcQLEUD+IyyMgMZgJFANlwHkGv9Aq8IIBQ/hboT4BDVDNg1cHIOENFAwEMVEwMHhgGe4YcBEAeu7Hh4C48V9QG5m3cbfiup5XPuPQhOwG+x75PzLk7A/EhWIYoivyTkYdNQlGRqYAYP4M+mJZogG/JyiWIwA4E4GmMsEM3kHokN9AhgoCTwaHTERsKgPuAEgj8DSQESH0IGPAuJPUCFACAZwARYIjPJooJmAQIEoAA0xELqAAIEOaAwEgV7kvdvJ/Txe+SNRof//Tu4f2B3NsuS3zey7u6NvbvMpyedjweeEB3MShU+3+avAefPx2e3Dl93Swaem/BS59eOR+3e7hZuNTdK87mV7v276yyerfKT3eb8H+j5bf9967X7++vTr3dfz5MibLdD+yxzU5y3Q91PLv7ffGf90nxT69MWnRo+XPwtlWT7PIJw3E2Zd04b159wx92c/z2Qt7/W+m/RqS/BsXrn12+/4P08jvd1NDnoxnwMcfjelz72aT9ZY3ac6l69ztj84w/hodPt8/Z+4T/nR7vsU9iO10Iet/86eikfrn2P9nKH/XVPxP5YT5+3Gqaf85zm939GF9uX9f0zL30zltjemZ743lWuG2TylfDff+aDPqk5ms7pP1T4+xfyUAPuoXz9IuPfiPskq3FNwfb74GQgefXyuAb7difE0uuVD50dgMv/lb2Rp+a8vSZrasvrlLzCo8jVry0MbHklbPk/YgjoAHn25pfazhb2Y7PAnd0iaz0WuyvtovBTkfsrCOCyCzw885pOfTQF3o/vQFc9vFl4b9PrdQlOF/j1r4DOlyfOpN/tj7iXDZfZvv2FF9K1N3cElmQ/o+8OBKxzcPClevoB/B1m/YXPyvxJacb8ZrX6o9e/R6r8s8T9v8P/6+1Drt+9F/rH+fHdt9OMeEX/eEL+zRz+6JPp2I/I/tE/knzfkP6tP/G/wLj9mML/bu/yghglftnxe+3zA5m9t81epN9zPBf0DVjj/493iG/CeUxXdQVV9fN42/376yBl5/y4HuXq6sa/93hn8msr79yt3B/ian+wh7y8d6vzKE+z/wZ7wNzjBN9CmzF5q+W33l833v3B5n9/5W3z9mdjl58+biJrXHG/vU8DMV1D0bfaUs/t47gyKCOfPFz9z/+/tdv9X8pnLf4rPXOF/XqH/HKe5/M1O8+/pkID/Wfhndegrj/k/N0Z/bvi/mlv8J3mXT38z/HmQ8xnzPmNV094HDxT+VezzLOohmXfY/SzXeyQwnnHt7sHWTzx7pOP6nmd6qWDOJPVa3ovSvLTlfRLE51DNGJoEYdHObqN5zD3Ntx89q8N5Zgrcfbtd6A90R79pX88jfnqrjH/nnh7qqz096I/u6XlM9n0xwRtiDBPirk9gnku7NEMyhOsjLBNhgU94VIBEXsTiBOqGBOuTQRCQmIchuIdiwX1t/YO58N9b4l/vaf57YAmul2RJe8829ZJ48iWV00Ni3eOCn5XN468gDDr/mdfpv8+Ju9ymAUMWPH92RVb66fPHM1nUr8mcJbYI29dMUPdUM3PulFe8+cl3s6R6pLR5OS3gz89Z519fDoB/TJ82j2MX3hwv4LmtP39I8go+wA7nHV4zIs4JbcD1vPqc1Yah0Xk/Q9HlvzYtMPBZWV5StrS/o+T7ifME/XXJL7PCv6NY8oNiv3nawQ/VA97+NQmG+6B+UOe8fQT9us73GV7+kIrA/6hvVvTcc/b7K5r3o9Hzqt63Knrs2PpDKmJY9IPher/f6Y+oCMfwjxT5/W6hP6IigkLmpatvVfTYa/NHVESRFEF+u6LHTpU/oiKaRpFvK8Nzn8cfUNG8gWdeIP1WRY9dEr+tIvTDijACY9hvV/RYSf8jekTgKPJt9X6uQ/8RFVEkjX1bGZ6ruH9ERQyK/A2se66B/iFYx9L4V8pwT00HWOh8qkfzyPn29sAj4BT9+2rh00G9oTifr7xmGHp7RNLn26/HJP2tMp5R++vv55FJP50BA/zpry9u7N0S8GO3c/MkDui8T8UNLl1zP6HkLoTPPXlZ+8yf/Zx/f7BiiiP4nNoyrssOCO4nM7yTjU/4Jyu8Z/lIiqRN5jSEX5wPRDCPxHT1Kzv56S/VnVa/yuaRtRhEHu3MnXPA018iqJeETZ9A5/90X7D85S9e/Qn+t3+v/734/Ne2BG/++S9wdf91vweiiPvf7X0b+8ySPlVl9aeuAkS9CMpb8xJEzKwwKbo5igDN4Ad/zsQ0N48DNOj9O/emeXOGuHnmIgD8G/w6zwl9XRAzned14ftzj/maz9XzQ/UINuYuzivV4Od9qec8c+576viZeyctaNQ9ifynDrQpm9dx609+Vzdl/ax2PuUiKDswqn9q7svLbl2D+ub2Fp+C2o2fIcO9kGcW9SBs5sSgoG1Be/7ctL/ALyKaf1T/9r8WXlP9t3cyrP5Nmg+y+fRkpHP++zCbMxvMA/HnLx79Cxjisoj/bRbbX+Dnjz9/OiQheAFo8OdzYXzQrebeLr9OvJfwDdDV0k/uubnn8n+Zi78re548KOfnzH3NXYNnPgsiq/vfc3Lvp33cQ4AsaX4F92aR/Tqf5JX44a9dnb0o+3y7Aa3ww+CeBfB5tU3uh4L9Pe+WoAXnOWFh0+Vh/Wsajq93HkXdmfdfZ1oeJ8Vrpk6AIdU9Dr9n/7wbiAeil/SVkIfzIT5z+s4XOv5q4rNNg/gMhD33lIzAczIUyhDAfc4bXec7ZQ6M8ddnsc1rkQDd7s1/jQUeHH7OlPvIaHtPvzgfa4b8Mu9CfyaA7Ko5RH7HfVHqr49n76HXPT4os+7Rt/tLd4S7FzoPyueW/I+ffv31rqO//jpv1JGYSxBEnRMd2cW8Q+fd73nki0cuzkfCxrc3H+D460uO3/8k3P8Dlx8m8PkGguBLBplvAMybMawIvrr5189B61fo1txnI0DviXfxJTLHFchMJdh3WP/f3xP/L+j5FyT6C6r7BSH9gjZ+Qe6+oGBfEKUv6MwXpOMLavCFA//Czf4fb3TqVZXcbJ47b8954t8jVbdO7ln4njlR38P+3a/89UWUb/Ry1v3nCMfdfYznnVsY5ruI7+HufevkvCv9xfU8NKDt6tMufmhYPcfAj+uBvlvE05xc1QXl9/cY+kVnsKOLJ69vAGcPbqEshcwEIZ+T480K81oYYWD+ZOGLtPry9uc37xlFQdt/fcTDc8z9cKr//X+80hAMmS31no8aQMabBKrAhDCWuaekfYmc30TC8/cibyLfL9xwM+bVuSzmzoWjfPZEP9ESWdpPErpNZPYXcDE9HY2zdKloqdiS3pErPYwkjxiLBuK29+xDFIhs7djE/GIW7qvylAId27OVmWaHME0HK882mkne79nW1vRFo/VWXHbAhtq0q949bPfuWnANVG4dwdjYh2xvFZzsHoPKtiRStbedlQ/nAypUFpZtzJRd+2I7P28cDgfRyw/XvZ2pO6QcTpNsh7ZwBL91d19t9ocDYaJCY+aZcciZcW+TvWs7hlKc+VNaYkcsxU+2NOzFA+EcjcYUDp1tcd0hE/TtRSgONlt6qywBfUjUQ1Uoez5RlvIU2ujNFdkuPLB9cDQuHoZmR/wwekuJkvIzEqy5SUuY/nTkbkqOko5toCdMQDxc6k4Y2yr4Z1kqONf7uBH5+CHx7Gzysaz3gPBBPahr72a5yppYpY7ooGp2PqtYOrcB9bHD+HJ/tx82u0xOdocS2xVlEu1+8UT5Sqk7dJm2iaTzl1rQ2NteOcv2kneIXwkei4w9221SYsazF0V4dVntnGXjb6jF+YQbVZBnSGhnqXQpE9M6Xx3RyANLPp2sbSUltwR0FfWLbfa+G8ZuvxeK8LL7kW4MK0+mfk1o10P1cAjbbL0vTkhx2GkUGu/Lc8Z628RDnfhPi4+6cfe4P53btmr+DMNuVf2Sj/MMlwvo+S/gCfjlDRjwXIAmr+Tgp49QXK9nNPDDT7sumX66n3LZhE3zYMNfwsMj+fDjHMwZBK8C2p0MtFveY4tunnb9fPeePXizI3bsy5vfylo8Z0n+VpLk+d5PX2WBfhc8fDmT9Mxe/M7LfOWZCJqgvjyfk8FJFKcQDMHenM/5TSB/RgOPhKlfue6Z0YCio8QHHGJ8zEO+JKX/6Z6k+6d5rvLl3FHkbTz1oEfAfYd14WYAWu9B3E9vwxmAiiCkeHU3nxvx1/frEn998sQ3k8c/vTs54B4ZvlnAeBwf8MahPQ6j/dgNhQGCIt796775/IB57RDcvJ/GOrulq/cs/Qtm8nRwz/Y93wrDP91fnMe8ykp3rsYCdc+PVHXYJ+Xn7agV4PlJcw5fSaZb++ekf/N7PlXMfdWQOQyejWb3VJuffv7CI38wTfhOi57k5CMtovH/b2sR+bEWYT+oRQQa+cT8USL2/yYtep0DfqtFL5z2Iy1i/pFY9OF3yz9/cJX88Cr14VV6Jr4fFXyPl57bxX+i71vMP6jo3VMo9vFj1PvHMOLjx+j3j+Hkfe7n8wUQgxthFNZh4X+dGPubmWV//pwp+rE/436wTQQU5POBNv/7Mxb/J9jo8/TwzyP8Ddm/WTp+Y8LPle//5dNjUfXeFfqrU3vIt0f1fHvgXrfIvatCKp5zdr+8rSQKH2nL3eITiv0dFVK/o0KM+DsqpH9HhTj5nQr/Fq6+Gbiv48mPkPNds98g58vU4ENXfiuC5uGfcv+fDZcvK1nv4PIZ838Il8w/HC7f5S54hcsvMhp8dJX68OpnuPyi4HfQ9Z/Rn2mc+oUkX3XziwrfP439jBLkL+g3nqa+ehoj6F9w5OOnvwDR/0z9DGLwXxDk78VS7D2W3jdi3J6ZVN5vgnub0DopPm3L/p4k5T8cW78eqB+BhbedS5rHPr76l78xnt8H7LdFzpvpXyQ0l/+qA9+o4ofx84t2Z+Xtm83+YYj8Rpl/KAq+a9m/Ngq+LLO/Q8HnVOdHKDh/fv6PRsH3aUl+/uAq+eFV6sOrb1DwfcHvsEdNiiIBuBK68wT/Xz+u9N0bizoLi/CTAFQm/fiFL8BQCcNPa/fjR79AQqt2/fGT2gVu9/diIf4lFiZvEwl+vOX3i88f/+PR8KsB+z5wjd/oGwB9N8s+H/Tyy98Y5B/BmaT+nF533hp7B5oHJXusPn6vph9Gyd9d0w9j52+q6bcj6rcD8nfN/dcG1JftRO8A9blY9AGgksg/ci7nw+RFP39wlfzwKvXh1TeA+r7gdxBmjlk/pwFcuUDw7WfFfF/re4Ds/MSdvyupy/HjF75A1GXtJvEnsw0B5nz8whe4KrvzJyxcV7dgEP9OYCV+CFhn0/kWrv7PxTi/GsPvYKwT1uWbrjRvu+vm8wLzL39jtH8Qhl7p5mtF98h23gz/ubpv1PNbgPX31PNbYPVH6/lDQfVtY/+1QfVl6+Q7UH0uuX8Iquw/HlTfpzn7+YOr5IdXqQ+vvgHV9wV/xAvdOy/8uMof4KjvW/NDqP2+qe9e4cYaoKNY5uH090Iq+Xdw1Uee03cnHLykOv2Px9SvhvD7vDV5Oar9iajP3v7yN8b5u9ijzaSteeRAeUwKvBwn/z4z7Lc14x9bxY8h6A9X8YeC59t2/muD58t28Hfg+dyg9BF4ov9w8Pwy8eHPH1wlP7xKfXj1FTy/LPgdUOl1OX+U8+Yr4xet/LLm9zMD9++JP370C/S8f3751LQPn/8COp/50b9AzTlL0n0Tp33/sOzNF2Rh8AY1n70xXSB1gJ/3z8b+7//z/2o+/SXM/+3xzdxfYPDnHQ3/vXhsC03y+FNT+//bv98H8s9J7sYhXBXxf/PcJqSIn5MDpxk3ZCPG5QL8tzX3Z34fg7/CFPyPvy4Xp/n60FyTLfg3XvAZvzsYxLHDgh5jUiO6rjFmzSy801lSsnTCtWJH13HLh8vq1EEUcx67dSKkKzXd1gKj2qFz2YsexinO8sqjq0q8bANBNm8byeWXS9b3Sk5xL8no3QIWHg4H3aIrqmIhvMor+lqNtlK5UQj16z0GH6uWvtJuV1CoI2y1I00Qp6iZrCgq5FODBWylw5gO4zorT/1CjUhdXq165shWKndWhTDvtCRqz6BX0mLBLdXRunEbg11bDENTVp7RKyfTd1F+MnM+i+Xr2tm7Ltv5LA3zWrrAhwteIfu9ehBTloMM7moY1523tg230HNmoFm/WsMQFPr2iZKvj0qAEI87mdV7FmncbXI0DmVhDshKknaLxZKXVotokUmpNEgT7esbDlk+3uN2Zrw0hgsPRoe/P6uY9sJUQuRExfZc7mJ3XizktciNz78XUiufOKmljcuVOz2K4ReL1D+tX/5eJEgW8wneilopxLtn2aCe2P8PrOdst7eMgUL7iPmFbEYexw1sSkF9vbz1l9FRAaIVjn10br68BMEW0nqrrtQWVm7Yy8RcMGKMdZW9gY9XdtL9jDhU6E3a8vhiadtDofc4jQWejXZboWXsFOgNIwpYcLQPLXoAmMhJW6jMnS3BLRLFvEHird0cFJRiNMi2zbQIF/webzYSP5ZHM/EhOOxBsQ7lD2qKyazUHBVaYeEIaSqd0NeXSaLbkUwnlGLFy97KI5rVCotYny5II5bmIuH2sawGkHriN3G8X9r7NU4Tp6NDhk4arM8ENuR0KF2wmjmvqyEb+cuqXYIx6Ew+sqwVxm2ua4qUt3rTQRA0khPvHviC2zhJsVJCq/A9Bop0BtIuJS0uE8hTz945gouRNJPA2LA4zRJBOHrAz16Sw7pzlsoVia6CuUajXirzcdwmaBTU+6gXjZuujEx72ZrkQRKg1lQ2keQdSpZVMIXb7ez4tkh648IaS7zYbbhNpe3J2rh16dk1slTjA5vtFYqt8mBBItFGwOIc4ZHuaFzkkdrLAnY9TtSooCnXLK5Oi3Vt1+9oXpEFiNwc1xYRybR/ujLWxlToo72kJZOoN/iyV3MnmXJCQA5LSYoX0hnjk70RyMIiRxJiyS5VWmYVIREsTSAOnibVcb0Zm4tqththqTVju96wciITsi/bsZuapEgu14a3Fu3SvJh1jQvYzoTxhNh6hIEz7vUy7ffLZLWDFmDkFtmhD4ZIKJFRvTLGMek3wiQfjEnZEvGwcM2owRficYuUCdLAIXDwvYX5+7FYxkCTDz5EXGEN7pPwGF1ilJvCoxsAqwiCHRTDzp7fZVCYJ5bp+FAU7cVrmDueQVlZ7p1gOiRwBFiQAUYMv014BXmsf634rruSnaKjzqj5e7XtpQPP1PHICYs0RpIC2+SYuzwJTrI2nU5PDHa5kVt+hXrI2dfgoQzQMgWN01ZQWrK3wYMIFDO3VBrvV97SXJleyJypi48vigPfJecyStRmoowgao59TmILzRV9Nh2pTcXuRoWUMgRrrUGvrl3BmuHhaEX2Gq0yhBfO6aK8IFLvh4EN7XcCZihFZ3XjRCkK0dIpI1t4qeA8XBjbktVhT8DXEG0T3DbEiNY1jV6LhoqBpO0u4lsvYpyoPSDt2EZw18H40m1ITsU2exhSToGnbFz1RKmBBZ12LsdzhlIJxV44YKkd1+lZcZlriDkOm0G3vgcx0lmBUTTrLjTVKXt6gLSzkISOoKD9BavISekbHBtvA8u7IyGLF8fEtpDYZwGVWGhuWuatOcJKNkE9HNuRLuBVXXuBje5yPOZ5LSPqZSovzndwjcvlZmFu2ltqxE/sX+wuwKbWJwaV9wBM788Ze47jKsEkzN1t8XhOk4zdxro07im9Yy54LpbKhXTFl4b94l+4hb7YSMFqsrPF7oHNZ27H75fpwTsD78M/nzuvTxtZWt3clUtlm5qNFKhHoV6oDP4VvxfLHECYv4ob2RMQOLzujuOp0na388t9XkzExVYPpiOwjtvdV+xinmsX5RnxTkb67jmg6yshGM+7pz/e7vKYvxyNNBZffad9kqStsvWXh+NLH3cisrycrgit+vXAevahwzYpEOvD9yxj97ZzeahI5N6hQ7y5tAkb9uoFY+FgnTN6T2tT2us4cjA65kAdjaL36e5Etig5CmwqPeoQbqCOC5KOgW5c8ZtxuEAwXEwkWwzMcY0BRgBH4YCbRxZgdi6nSoOciXB9Gs0rkl90iCzs5oR7lrMTHz5TDuTtUjLX8DiakTM29UZxABRKTaK064btHaytKUhPywSmIbojO+DnsK0RgJDWIOAoG642bkNWRUGeEQZny1k9ZesvSgw45N7Mrid/zY1q4mL+ZthWR3IHw/pq5YnbizRErdoJmGsCs6S1VuvYjlsOJFQ7Q0cU5ovskll2drpGygItrBZv0lBfdwemGy1TGPxjHg3Di15tb3lTX8mcyX1SPB+qA8WvVwOlGoGhBmhHLc/NY6y12I33Dm9f3eQYWk3Z5YVFsrbRKuNK6DTThLSD+xwHCYzD8GYc1vM4JIihVoWDBaTL3opDpASsWsjjIa6L41lpNURjh8FDChjHjyFJyGHGG/02dAtvJP1+OhYiPcqbu5Iullx9lktjsxOqYtgERxICyCUGt8vtmkLkLh/kxe2po8IZAbKV2eW0GDfBaQihzCH5PtwvnjYJfN9+WRvH0lgI8vpVPwUV2Hiej7LUv/CnculyiSmx4mLs5IgNazJCIRhzDZvXnpxqF0tLMZYe9rU95FRUHCWF1PZHQT25Jv/CvXbLZbQI1j6xQeXl/T3Qr/IsL6qNnlSXxavdawuB16rbYfP6rmws/UGoxHBA+Gxvnl90U9rlC42jllJL4bXSVMMIKe1l9KXsgAbHEt52YsAnKxbG4BcqlSQyW4+RN+CeFu2Oxv45XpIvGdyhsk+txwklhvQL3Y7oiemlEcdWF0qLS2aK0lSxIK2loeqMuwxOkYF9o8mligi7R3/IdBdf0wt9ykbVufjYtlZQNjoa7im/BniAN7SNttboGMpw5zIJSQtkm08OVU91fDvGdj+yIl6gArNfPsdzbUq7g2sKV7Ybxgo2swS5HFDHZhqEMGSORY7ukqoYSyTTLkOxcatFgaCkmcVC2G4il/vxIccTT/Bl2SEuFUoAJkcmj1crK2BpSy31yu+WfZgkuiUM+z0wl9sDPLfcdnHtgLkUDAgOyMQz9oeri7YAoRgs61BiOeIudKJrB1Gm0+MdZSVxm82m5U04JzsP8rZ54p70VUyLxQU96l5oM7BiYu52fYEVyUaJDiFpXKM6jTZlEJnZ69m/LKS1IHFgULRDS1WalZKjChHDZtCVhhYHBO+ZxqSpQr8Q0AS0u+4r1cS3IZVwWXfErlvPVRD3uOfjx9jsExASujshvwywfkHYPto7h3OxA/aD7UtB117jhI215HdHd4/i2Qrz0DaxhGcZ974JZYuUjZrV1epFj6lZj7XGHDji6QtLGd4ycH+jcoY9rr1bWND7ammsrueiphmUhZY2rY9IFHHuHoDG7qKeEW4IQ0NujwvF8LGiau1MahU0jE2jbsL+ELhSsOmomKkW5eoEuECJ3cqj/ur/sOz88H84dAO6x+5OMXItcH/Vu2cSFqhbwGtnum6rU3o317SrW9xiqYqL5CQj7QFEB8dyCNfugEIaLlqQMgyjcQEReG0et45XeUKSkvoE61vWKDfkIFyHcEVSCoqJii1MEPgDuvtsz0SqLr0oYjuO/cb34a5K4KaKmgJNfZ+tzBD2uva4UbSIndpVjgWulq1B3YpLBuymEnHCrkfGoI5Jg6GVeZDFzk7FphNIHHPq8JT03v7sHenWDdmpSy454mmkxTUExqYZFTCAy0anShowPUCrTZIU1oE8ZwJjuIZyKYsO47bByIsTlKumIEaLNWkXmFCugL/fbDIEQfYH11+XfbevsRF2rZN6DBhn3LOlJw492VYuwBsWsbbBmZEGuaPbjLCjATpTT3kdBAFL17vGoMJjSuIEuoEBL1aZRjuYwIlS28qLoJ0JYvGiG8SVTLa9P7m2CdfSWSdsb4KMmSPZJBC9ark7PgH0svUwtsDxaZrCOGuuwPUaYkG0BoZZaYE1UKj7fWpYenRoTIbqJwoq6lBgyyrYMljLq72SECN0aode90iNWQuw7nUCI1SmE+fxKYzgc+03qo4fGdgi8ojDxLLI9ACAAeNwbEvYOtZcbGxA8wwNLNvSmcY4gHApKarJn7YAYBsPBYGTpHuOQ0JbY333fwhe5rhC1KMudPmNaPpLXgCusbpiQhVvMXR13qoI4VmjTCo2S4WH3KNS8dYkrtmRgTYmSW0y0toZ/UqxfJI1RoO2ILinoWOBLx2HsXCUieRBT6IucqNCb1fHotoRIyATRChfIl4YguMJh9aOXOR0E6Y2OdG02XuZx1HeJrKdzAkHyGgrWRlG6mouGowPLQthdQAxS8XeNDNIrCM8U+rFlstukY6usSSJvLODX6/3BpdJWvuD2RBNh5yvCz4R6UQILi10ruqdykk1XuoGhIPQyQHDAl4hUmML+NTKpg8AUtyaW2GYGiy5VbVXNyl/U4g8IPRanRDZXJuH3K0w8K8SDgaFLOc5iJuKtr4cDSo+ZbbTX01eTOuGtRpeS232ekYlfgn+SBzFJczo6vXrZTNF+xzwroPjFgBPFi2NrsqdtJVaWr3Zh1sKI3ioZU4OybzljskN1RCTOlvodb2Ld5ThYE7ZASoCVxoTbSyBMaUczbKqDKQWX67rvcZJZ2Q5ddMAqO8Em8EJs3PllhvtRVYmUIKXi7od+0tDuQpFUCSbTiighhrUVjue+bOXu4d8i4opR+hca5kECrUZfCRhJ8eOmW9pEwNPzp4rsgJI+JCuF+mO4nehhC4mxlrA7pgOEZ/IreO4bvHk/V7gmazbrqIqT0mhjJtrLmCkbKJdZ7fehfVHCiYy1/ZbUifJ0751Jpyipu2ebUMTr+udxEk2dsbR2wkGAQT7Vj4ddbFwd61Eai2KzB51mYMdlLvKq5dnPWTxE4d78hnntPMiRlIQfxWX8Hggrc5vIadGsNqhHceCJjXtt8q1kkaKtDIyPPJs1Nbp9YIf3FE5tAf7PInamUPCaIn4G/KCQEeuYZ5leLT9tozlNMppty9zhrIZWg5ZQM29mgqqnd6xJYthaLRpK388mrTRhrdofaxD2urbqsnbNkWouNjHlK7EmG3AmXYMSF+cRpzMe8tt4TbLdFodTQbpujSmY2AeI9Mrp6Etoa2uG8FSCpSijqLjgMGpfjQI5oRCp/nfDhqK5aibMEps+tGC1GONXhX+sq11Ubxsiovm50hCXnFAMKarHhOViU2YYVR088CuQPVXE8xurQtJRF1PYlkEwWNwUvoI75FEWyKyN2g70Zl2O9hZe5DGFVBGD36lHtnN9hwcdaiGmY13kQoWJjZW0sq20DjVidrm2ASYjjs6cJYsa1MFltN5uWNhB2W7Rm/+akVFcNpQ8IXo1nJtFpmt2JAgoIw/8xcpsIfWX2ittw7D44m8xVmmUS1ibOWzLPgQdCEa4rRJm4zy0M51YHdapZ7p5J5tibWrbFppLI4owDgJHyNINWODcexDRm/7qixWCgNd6yvVGX3EqvbMcwoOC4AXWYnnRoQoRV/3dz0doOuZ3npHjtxugo49D5s2sPmCsI240En7ia3dRCxX5s6/eGGOU9mJuSKZcksGv29a3UKIrA+VZnMuqFEIdt6StKS7/vY8hVkDMVz7BJWVW0PlkpfYt6ftrh3s1DaiCCBz07onlu9O4fo8XC15K7vcTea1DMiJlc+1XHSrbrvP/LpxEMvchUu5ktRb6p6lhSx0PQKdOIaxtztkxiPxbm9LpaLUseEsp0GhSuo6EWsnh6YQbiFzWG8O60rdnibgNORluY0viC2oW3Va0hupuCXAL7OMW+YSKxi8j0ALUwrQ+X9DWVT0uVnCdakfCqk6yi2EgXDjOvoIQEhpezvjRpYXKrdoLjKT8dzBdehCjarTQoW6zM2dXPG484yTJx/QOi5llMBKsOvuxgP1CytIBs6xcYgzsteikcjinXyWDksf9Fq9sYBwcLftTSwpgWRWJqDDOye6uoVYdQ7ms24gom4eZjTJeMtJHdyTusWMrbRd0E7q4YcrRZpudSIu+XDactoJExeoJS4uNxXHiwFzcrZW7aPTAv9Qh1ezMBVbyVsc6aQEqRMHiwoCapXca1POamue2ppqNHG9HosutNkj/XKiTklX7ePtRZsK+iD5m0llFWxlCp1zCQrZOOcjV/t+09ppre7b8+2CI4FgFLWnasf5GJ3MoI85vCsOjXPbpDKn1XuAAVZ0lOjjtI2xkNmkRLu0IC+JEwNNNFe0tjUSOnWD7PFtIxogAL2JGnpGux5tCgr2MNvG0H3LjJlyDmlABELPc3YHUmQvVCArDnbRIbw4Ni6yPSHSzK+2SIVu8c7lTitPmMbdEeZHXbVOU0NCqDk7Rt1kfUwzFrWWmAtofUMl32TDftVnGVKNBHe1Gq04AGTOatwmSIWJtCkls6DsqINrixekrQO7TNxd2+YESkrK4oAS8QH43fVjLJkd5a40L2yWKm8bdXw1nZE29/VyRXRsIlttDEVdDrV6XNdgdM6NJ8JFiGDShfINzcfJ2h3bvp8cHZ88aUGM8ilm+CGvZ52KO8WByFKMuKMbZ+MNUxHDxREAfHJXm0q/dELOPWZE6LmrM7cN5VIcm2YmlLtuxMRYaPdX5kT0yOAfBLmA3BtdyVDeRf2w9ScR7qOz6LdJdc4BTa1Z5OTsPMgK9whCtziNkIpaRRFjqSzbXtR6TdsV8BZjOgEh+bZnm9gLtuZq7+EulVjllFk2Q+JrA997ZmCqbUwilp1E7uQwzDhFBYidbT/FTxvcC9HbgkKTI4avs2tvQ5m73QAoA4wKWY+4l4z9ErBRi2fQh54eS6zejQgcaZf9fjPpI2YMh4oP4O3kA5IKwvDDIpSrmNFWtRRF8DAEenTBewMjUYQyzV6vQ7v1+eLST0muhwzel1SLngQAJ4M2WXrFK9fJtNVwKToWzA/jzYcRUVQnFW4c6YzvO2u0lHxptlSmWyk9NqwKlaSiNyWlX2AVBEHHsQeILrYFPdE7lKT2GuDKBXkZV2FN5mUbr2IvpxSjlCYRuYlVubawLWk5F4G9qFMzeKToT0iRnzMQXVVDIgk6IPTri21mpZQtLwSrezh6LgLnjBpskx/bnreHZirR9Ggy68tJ53Txqil2iq3J3CkdyYJQxQxW9nW7ujqIuFXSfB9X8BbEzSDUPyyzc6R0hXMqjKtx6fyKLPn4eLaL7Gx5EzOpvJZX0SmTYIIoOYv1RAD5THPjeWYf6ioi2ZNBAIYRb1c7nVO9Mb8sFdoOcifBR5W8VHqwBpwSNucxi0B7bLyB0wqA3ClPJfywK05v6kOlky7yGOqinewtRoQM+RmTTq6fntaHqyGUcpc6YwOt9pu1blf1mp3UUTVX15LC0/yyj9fa7ipTZ03Sj4nrsoDNBbrPXbWzfVyqpHU4C22vz5gLBH1D8C555X3xjZZ3Yr3HfTKtT+Med7ZFe2u07Wkp0gCma53KnfSuBxDwb8na3JXkstTL9SmmQnKIx3AXnk/d1AU3S8faoMhEsosTqkn3u1qFRUeAEdpd1qQS1Px6cdl6xqqU1uZma650ml+blSOwLLx2Trc4r3itcJfKVj2cN0DqZeHtETLGJHsbt7zdsmjj5A7wvywyXCebO+c4gFNot7LwsPBXKoGmlbNV7N3WuxR+VlkCuZezGzGyvYd6l67wrKw1D9JYI33juLCqdll1lcuSDeVrPUIL5yyRklbhnAq7qOsRjqWt3JVyJXKNgvrzSUwhj9+ayzrrU9WOSAupz1tNv223tVXAUW03gY3YZAOC92VcH0AcW4qcpJdIxRUYvUAvEJofORNQnvFwm9fw9HgP52iTKh4gHgCS8fJq7gDedRSaooZre8KBBMyhXuNo3+8cqEXaWJJiKNy6BQiofBAnsWZ1EU7Uqd84CAgtlsY6Bj4YSahHvEFHYz6pU4qzkNeerKAMxiGnYVcLRqVkq9Gm8PZyGnlF72CslA9sW9R0a4nc3uFkWlotcc7htV0TIMF0XTnQUKuEXSJq2VCaBIB/t2woWVoR0Wp/Hp5rtgcbYVFoY8k3xWR6nK0WwOqu2lRSXX2ErpmzuzI7uk3P0VEYUubqk+uCplx8Nd7gIJpYDWL7lL4dXQDWreBvr9ezjoKY3vQHhu1hzvTRSrptL/pQs9wKr4WSoPly0oG+avAAmzfBycW2r/BNmCPYaA8vMf6AItDNkcOaDvFWX1TYyllNHd3RWFC7dkvkVd0rHRvBjspTgd0Ohcxv0+NupyVKBaCrMlYXgCkg1D66jh2shIMjlZztgLBvniccDA8jO7KT6piNuJsvnkS+SUH4wETLfpl1kcNkHlEioW4UrUmDwP8yktTMKZjjoal3xP50DmhpkVR7LHVf7WSpmzvH3+BIfjxJJeC3R71IbQY2043MDsLNOUkQBJxSu1NhMsfIetoT4dQoCiMj20TsDgV7AG64yEF80Ll0cMQBT9+eRNHzVwuPXGxZucLVSVMCyY6v9maeVFQsRIOSRCZchjXwtN914LoXu763Iricv6QxVfj8xNaHqj9nKrEt1a5OTnROd4Mn7lbVomTh1U1dGtU+z5LVzcjDRapyW7GQfOzmYMwJYwDZX10M2Bw5l9WvjFkQ2OF2cc2eUNpCWF+mrcepp+VG0ovcOzVTqNK2X61k4obA3XnGsGpt5B7HVS7ErptapdrD4Tap6LKS9J0aYMHULRyIrRumRLeIehQCPWAqumsBEpQPPFL7VzkDkCy5dVXybaMI/GaSkpSNkBDdbQy004D7vzG8lngosLfbZXVxLiuJwxNaIzFvt99Ro3YssvGCEWLWbU7bgl+VCXXciRN7OVY9oAuSUKvQJTnVV4+yqbpkzSGZkF2ude6NX+wiozZX6x47A3yv1W7Js7jO1zFWG1Q0+y7d2djGvtYmBpoKBwnciUk9I6CZlbUCRDlOViSR52sdvyyxgtrfQlVWaSK4z6cgVT7kLgjMhtpv6rFYr6MO59KWgVKtHRUHjnq8oaWgwgdPJ3CsX0Dx5YofEtdzbAd3N5eLBdw/qY1ScJboii4e/XKqoPckqVOuLu1MfaDbiKAecsaQDA8uy0Tx3DEQzwNt023osTrFnt21eeGV3lnwwqZALiBw4RbUvJenbckFiKm4jD2fyrN5mkzMzGKkVRKmN0mfzwI2pZCr3DQtn2fYbayww9Hjuk41ocbiAQcoh2oSlbO9Fid7uVvBIK6cSjzGVcs1i5PmbODdyW1IGCcYYIL8dTlie/dgimzjaZZn1xVyiFqxxfYwBTzWlQQ63HHVNdSlc8NPSw4zgtUDAxH8NuXqEhWPxqAGCItBWVdQvnrkJDKZOCXTbrwoi9p6OLjKDQBoefOlEpVUFgmCK04AgzkLdWBVR+6isoGEJaxfpEI/01gDCdYtcgEDFPS0Bpicg3d9nRCjZuj+NDHsNopJKep7kiqiEJ8CYC1R0eMJtEQAs6B7+FZpEhThcFxpGyQ72UMOt+4VgSqahejA3Rc503eJqur6rZ1WLK3uc8lGoeJ0BWDkyIp+QIODCifTetCxx/yVbbkUbI9RzfbjEVaNq5JOPr71RLT1jkYoxSMe0IZicwd5nLZ1eCCDaC2oIUv1ew73sMsCOG6ONhvcz2IzRzfyWhM/27SxioFNN+dJt9RoMU82CzdbrmWkt+sdTjmVZrpEi4DIi8ppQa2PlJWFUH0hoC3TAZ3oN1BXp14OX7btdMyrG1s4uQX46rFrXVulW88OrXW4Tm3gyImTBfhMroxNBBC5OAspnhsHoUsqqagzCTDKMW0vFWUXlcjSAl1dsPHgnNgRDTcpiEWwcACcaG3hrziqYguL3IlVHyBhRNpXo2DQQyVpDH2EZJnf2ALTUUGzA9wRZWzI2jdOekZyIdyhBnGjCiWu1RuKucpQawIf5reTuWQPihhg6Xgz9kSQk5lTibxNiiR/tsITo6hxwGRmN2R8pepUZFPVKe4AkvCSdV5Q3CLiJEfSuswcbXPSMnWzXQFTIxN2MomDRLHrtVN5y91iMcHiwBMcdGEJ1dPg5RTmcRGVEkrRIU2hNqqxJ6L1qP60O02cFnE0Qi8UIdpxwdq2TSIBsWCXo0zC8ZG+zk+3HbUz3EjkBNElebFgQ847LJq1QRAnZwJYPds6WjIrmwNUZnUGry9X4tPPQYUYo7xs85cG1gfWy/FWtM3QWJ02FxpxQeHjvOcPlI8Qvtout811JntZukQqxwQo7V5ttt9NjIiz8t5GSahPtZ3K7+ntwt/c4/+Fc+FWFSdUgFfDq3JwDkt82oRRhm1BWNpZUVN2Mo9Bx/jIhtnZC3CWiXpzGeshe7xKZGsZO2syeF8/YO/ao4qnc4eQwTEjtaMS0psGS7zsUO1OXkxtCm4lutJ2Cfqp9ev40Nh03SDR4NdmaObdHI0j/ZEaXOPOx7beEUUCsmuxUdZqu5CDEjdwV1/jnuguy2mhcEigCYDO79z9zk0DV1+Qe1tqnSzOJt9spetVOCbrQ5cqI9GpfWGtFwwMW3sCCtd0DQXVEe6Zwl7SOEuzUgp7Q4qb8dCPPbG7IYNMB7amFlR+vu3H7QqgxHnmUccj4kxF3gEPZ6gwgKuWDLSbK2nzqnA4tRa/Xu3KxYLbMebe4A6KjTbuBadbjC4hEATXcQlt88khi7yXev5okLZ965s91yW3jDN7KlyJ/ihVUp4mroUSzPJ03n/mVUhkAV4llBGW4ccLrWuXmVMerpfVWGd1tCRP+xFm9sPLPI1LbU6uRMeUVizfyd/ildwvIc0q5Iku9Kt8u3UDy3dLe5P1+howNlKFrlcQzyIk0VuUUXt5g+jbNLjF2Tpb2ryoIkDuIeXf9z+ya2yjoOF90RKujFI1lmW+lAs9wtirlx/go4xm1orbQwtCi2lefNgJdTCE8BL7WUbHJqyH3L5LcFVf7WC8bKCFvZQoaIE969qTh2rTLUklV9o1fTJ9dXkL1rjEDPE5jS/zPrfoPC1u6WJxC4RVPBQqL2a8WK3tyw3g1CKONUBvVEl1Zl8ksQrl7xbKAoS1xo3ZvrOLnDsD4wR6u36ntwvzpnLcwtct853ux5LNLaTN5Xw7TflybSarXVIbDPgDTWVvPTHwtpnnBIxLnmc7bFlCrJ6rvJru3ZS3C1Zbr5TdxRPTlU2Q3nkiGbJUwJ/XyivYlX7zAsws+w3NFmOgi+HiJJY2iGz3huKbt8WQz/Vd9pd6IPghoapM72xmrSirQ3Cws6Mcttmuea5j/AYbDjy0dyBYvwzAoS3kQ217y9ZpT/vMRo9hoBYbg4WLKNIRKtDjorKDEVYuONJzQZvCRtMvtvgpRoorMst8O3ntWmWZiRihgt555AomCGnrQchZGdwrj2tIRO8Nu62xPXXcyPW876LfMFWF4hAqKHZQMtGhZ0nARm/hwpmaa3bmwBjLA7aMacAxabfYtFLHyEItAzxh/MQpoIgSN1Mrya4cUIMRASKRbEAshA/MdiYSKiASLFX0LjqxjNz2fYub8Niq0pWVQXS0jpAIzqyrUGDM0MCcG6KyZDrFuQbE/MR3K6eHNyuZ+RxjGbqjYJsx7RMM7T0oMJpFgmNIR1kb06FrOhgO93gfYno5im49tnBd2kNXnKIOGfBrnpWawimik4rYOEWV9fzBTh2zonwQo9iAbojskROwIxmw+323MQ/ukSM39EQQwE/3W5jQag9teAgbrgUaiLzYDDyHFxjh7yzAKnJK2tbUBfAQQ6jD6kKQml8oAckaCUD8Ch2ERtsT+oXWKsas9VY3iyUE6S41rMIaFU1j6eu73ewLDbkqkE5abbybpE2hkZUKCPH0igoLfksPAec2EBZIukG0WRyuSujWApXXgL5nvH1hNFTZ7DZ6dGMUzl6XbXnRVmV4Qx/PhIWWREascmcW39Y168lQTzER5wFr3XM3dnuOucsW2LagHVxzfcPWFeeRzz2BLnt0T5FYL09GvOLyvQd4LHOLhxTYSAJURD7sLAnYJ4w7+YYDeDSAm59t6MY3q8Vut14hyDsblZZCvFsuS8IXVTI+I2WMSFcEEIIZQeY2cS9tEiv9eNltCmHeBg08+cRgw7x+Lmque3j4cuhDX05aeJYKWOPIGYjUYtPzJIhl6fCYZ3J/Rb16fzPdBqbzIBxACKIhyQ20E3XetfPeZXuZb3vWLI0jpwxqpQIciIm2brH2+xjgGO0hRMzJqMTDUg63qUDhp3WzAqGisZ2ruMsL3yYIwwB1ZMaywzj5ZtPH1JOCmnJlVvVEo6bayp42UqBnL3EFKP8Wa6sFvWZ4bAvGLN7RWnwI+BwPkFPu3QCXuiK3/dE1Ass3z1kVHmcaZFxNeXnFu4lfxvLNn3JOkHkk0/tFlS6IeZURYbSKyJGyIfAjOvjOWi4gh4C0vL/5qY7jDGvBvUtCoF4Yx+hzQGKdhJWOOqYWeTNg6Kjf7CMLqx74t2hNk88dwp3ERc4pMebBYzxGQhMc92g6wQpv2WaWFNfXGOBgHJ97o0aYZFKklxgbJa4bejZLvN9R1cUl+MBNNZ5H6iuL724xm0sLiZG888gZN4MTEMNbD2vivoY3J10d/SKMik4da9Lr65ISY/VaXvAIpqcCmgholUR8FT3mPipLiyi31UwW1VYNrUK+gwKyzY88EZaLu+7jPlXZFLmFvT25JUU77g7TldUthKn6MsI31unaUJNN48HMd0n4tAA2DriqcGYJqDcqRj3M63Pq9TKeDTVZnwkf9dGU8W/GGsf8p30BP9xXw2Ixm5CxXr3Y89PmTyIPnPCqLH1edWb7AX6YYnxOeTEhGThhGdjPqimQUucIoXTx8LFWVA+MAEo1ZsPExMVnTiBFq1MIgsfiuQeqwIrKYNxGPouLWZm7C0ZPT4698a9IduDUZNOu4SA/leuYWq2XP+LjEbFUsIg0s3PWYgR4b93w7zhDbZllHTNXj4VCrrk+8Ex41/92Ky8BTlqAvR67gZcuFUFM4lKcuX+iGNBaTIKzewv6GoIvyBlm13i4JUsvq90uOLUSNTJAoKIqki0GeDJRnDNUGCdWDkT1bI/O5tiUI0tLITCJyTBMCfVFa0KYGR9udl4Qa66lrvB2KjtkAa14u3ZZfcXAaww9b/yQDeFwnIEqzI3a1vR9WMQv4zrhLsA6tOqZ0JJTaBqZejMk+tOf3oiXvbZ5HBwP6H6CFD4qqhp4BJyBkqoKquVksGq9GbPbxUH69WmnPvaDd6lFyYNkkhGlTHDQHbUimzePQSzVcs+95oBuUxtDWpImpuS7sfZ1Yv3cq9mlWtyMSlCYVF4Zjz3tzea+z12greK62j32X47GdlHJen86l9Jzf6Ayf+N0bM2wZInHvkB5wSz2OwoCZcV/syzttNluVreQc5e6QfXuFNGjr8c353VPLJYaC2NdEmvZsd2woFBThC1BGbcXW+xyw/FduJnDHlpf3fYSKmZpdziRZJ1vmvro64sjtMrn/a7leGSKC0oL9bS7HJdH69CE+rHal4OrnKDa7kFJSwqa92s7BwVEGszZFZPimLbN8aaEUQtcSK1pt2aGZBfqL8PBCQLSrGnPC0REvXalXtW9R1+LDVRmp349kWoGKceFY0FHqN2vo2pRFASjCeV+2BdbXYExtvc2lWAH7XYpk2EWnCD9gmsRf2anjikOgsPvjaBC22Kh9JGwqhStMTF9Vy14Lj3QJRHJGHlqEsXMfUo9BwCKGKmtxlEjIz8lxAsFIhuWJ1scKyJClC7mGOW5vD8aIFK6CYdtBpFdXbptwAqjRfQDuoaomxNDEeZ5NOEYgWeDUBzrsINRCWgQBezYS9cG39LZIQxpuZWzSTKLgosi3oDMG4Pagnr0itvapBd95PTsGJiN5R4ZcaAhDOcI1Wuc5XBxydQxapRAq8H6f6h7r2ZJlS1N8K8c61eqC63MpscMGUCgNVi/oANNIAPM5r8Pe2eec09eUXVn7NZM98tO0gPcHVi+1vexhLsXukHHylAW4bMOhz839+mKRhBaopz5HzBq7LE/ToBMUMur5Sk82dr2c2A1bP0WAwloMHLjbuAb97stBj1OKC08qGNF+n7q8nEqvgvsFEIhe6lhJmuz3owvFS4H78NFULunsRE/goc1g9O7jvAZRdFlvyFi/EgK936z8KiqE+iUyGDnyhYq5udSqE8ugxSqhnNpoBAtWRA7zuAeNh953UuUooIjzyzCdigk2HlFeQQbKoe2u7gPpwbBfZ4hV7tC2M0y0ha3fIPyTWvbMhmUHWKtbHSgOFLDisAZ5/3MjRqa5rBIU8Hlhyf2OXugZp0hR/yqNC+MSmCJKwgK1x+wo84YP7Zut6l6M/DFTah1c9+XBfzEq02Lzgdo9X518x4KYoTP3EQBSzulr/nh9Z8a9zvE8vbSdp+fWVAehu1OjhEb/QZ52Nnhj8wP3MrjssAgH1/vA9ugR9O+9FqctIcDTJYpcvSRseUBnu+2Jp6nuqZd0z5SnBwMheIVociBW8nSKtAI8sfZkx123l/h9zJ0Q5nuhh8mofvN08mZW5/7mxrZjmiJLPyhHwAIhpFHRC/3hAVYKWJJNzAOKLQSvBqk7TjPbq3NZuJnSc8BH8d+m1pgoVYTyuEitClNNt8iJEwjqji1SUBrA1GIfuWSh6E3znyGYbS1YJk+dxCWg1ptnNzMP3ZWyDCFNHYeKrl8jifrghJJWqc+TfOSklf07IXk5sVwgHJgOhAxDCEmYDh5EHtPj9hy0W2PDCEVc5FnFw2It2c3Tw1ctjp11GGFoZvx8xh4mUCM7g2IQ6ke4vPYQyDaB5QpDjdfeoGn4mVJUhNqubFJN0XULUwiSeUCVOxW37S44Xq22aIAMTcid1OTvT7R14pTIpTTK1mbE/tHLs/ipWQ+xvYyMm2ECX0v/8gPerAAe5tjIH0MMfN77g/nsHLdtsAneFTez9zQ1rKetksIYfJ7PpBjK1+2YfFfo/gzJ2ESBK71gJeIVD9zStvWsZ6OS4pRwv60A0+bZSbRHO18/D3HQRFa7p8Y7/mH/QhW9Ae/uXEjw/4xvpVwC3vzoFcmvpI9CWcfKymtHRSEHg/i975fbJQzipafNMHDCvizTe4qph6CK4R+z8f4ziVpoHHPKjrKfuY2WYqsq0peQ3p1/MhNsZ2Ccbi/39dNHl5fDs6TxcByOnLpRSAbIcPJmaVX+JX7kuO3st9vc4+sc/zMQPQ4DuBqIkRPJZjeg2QiXfHWIR88H2yo0xG6uMoUoZf0jdcQDYRqRw/uBNGzXzaqSlIZ7pvaDie9h11iCZYoTeoK6Pf+K9VhMiQPTBBXtkWQLr0G5+Ds4VZR15QWSvwAMiA3Jpcn+Yl7OzxN0tsZPIQdLME0jo9lhlqgMLV2U0/gehPbTOqPxiaDLYIcQpzJtrGlCVcXLK1MkMTpsvukGJzle4NDez1bmm8QWA7QxToblwbO5eugyrhWTvU1rvVFUs5jcsx6uQGPbgOmUYL4daMMGjy17agNs9tBPODCtBsB8EJPx5lfyrQTpKO+B4nalRPtItC5CX0LmtwBhbnZLuHgjeIkHoOsknQIggQMnCAIwjs4LXLzOo0iaiRXngAwjBWFu1lEgZ6GW21fXGI8Xw7Q8QAZEXyF6d+xM7lIEu7Nr5HNQL3wI1JDPH1UbEkqevLAdJ9KpQU/1SpeIlKL4FMVWTuSd4BYxxeOo+Dp9sox9m2FvjsKay0iI8jjcbDBLesz5oGU1oND0KgHh/FDVCu3fnlvsxE1H41WPh/juJFUIyQtWAwbf5FYxDu56qkXOux7E9kysZu6TgPa2Mi2pPRIF/74NokdzLD0+BMmgc9befuUrnlkCSEBgjsrJ6/6x6rhNuzj4qLBwa3J7O2Cn6Iod/cNNS+24698h8NCchpn3ykvpZ5tauSDur4DczdNB0eee9ehZwf67kveRUYUivfjhs6Iv0YTROXd6mjuwt9wpw9s2WwVW57279Sgz4cGdR41YfkFBY672vjqSB9x2CzpM0A9aYxvS8QCyHk7qpB0oAfwA5m5nYqCeA0MOfOE5ZqoA80Bnl2pH+L98lOKf8Z18kycA5US/WQgP/mIJeHQ2NpLLo/TFCUG9EMwBqS5p/h2hBqNk8J5WoU4CZs9wj4Dvz7BvIxQD9B0Hkc0302yZLu7qWRecUIqsuvWPSeryzwRu1EjLLZarCJ2/lZukP+yTS55B/jHv3mIAcSnBYRvbJ/l4fQme1UBBxFX4TFMIiL1Eop5JF1V0NhqyaBvbC3T+IHLc1jPjrpNnpkhlGrLQZU+v2IRSmOK5NdiIzhLvdTWfdridH72Pvf8hKhBFzCJFN0JL9c7KL8EJ+9MUB7Istz3dQ6KVh7Z2146aXbDYhRCbsB12fKqbnOQTk+qzESkRbGT5VQ514RP0cSPfq6l+LPdGJmqo4YI1FY1Qyj9HL0bluSX71vPyYBMHTlXS7IEkpX/3EsPGzAVa3D1MHy+UBwoVYav76tjK6BvuWyxz7yG+/NTqpPrE04eqT2xya/gZczfuU5I1S+guoymStCIPMl1ySk135FY0ZQna4HkR/lkYZzY5C3Ej02C9TIf+PpDrXsTNvIsIINyYHQL2qV0TmT4pkdf09HVBo8tBSl8S20JacrJ9nK0ohw1IuaCCD61rb6vMKe1A9KFbeodOu0TmcBDOwqeq4oHlHPTAzQgkTF45uoVXE+uZZRH4Y9zp2T2VJQKuR5tBa3oBlIEsjd1jgqehc9FtR3VvGiInHPM2Faee9tI3osF6/f8YkHJvnLjQ/0Gyb9zo6q6+/quRVD9tGOc7CA/aynQIlH87ktAxdnu2x/c7LZPzUuzWhszXoTndW+8lEpVVbhwN3gg4Y8/cnu1rxzgJhG66I8cYIb+ygE2Qzz6I3+ZHZtKqNDXlGj3hT/msXtf+b4w8BD0P+ywfDDyCkVB83x857PdU4E5g3H0snld3h95v5r1lPOHPp5/5FGz33nUYUSV8M9nwcjSg+N452/mtgh1mFDRzP0lz3JhuTGYIjL8xJD3jkDQZHl6S9IUnp9u9nzQqwkCPBiWnyffJ4LdSOAllTcXsbjhpmkDQVhsmNujsL9LcMv6Jt4guypiLm4bqJLaR2LFE9t//cu/xrFtLx64wu8OeLXeslzFjcfKio2TvECgA9P1iTnBCrXcw5nHIvzj6nQunuoTg8cPSH1QEHyBjdDsDse+avCrmgvDKraHC3OrVFX1P/7H//xv/+ePkjH/B/hViub/x0Jaf6eczz9RufpH7Zvfxvm31zjX1/hV5fu376afE/9RYAv/bfqbgkD//h9UBPqnik/338WCvoun/hysyL/KPf6+j/w/GOCfq7X1p/JCv/VJW/y2TT+3cOy2flh+HfGPreT/wZD/XO2tHxWK/p+N9i8sw/XrlP+3LsP1x2bJfy7D9fvGgH+vDNfXlpL/1WW4blSCZUWa/VqG68+t+N9tJf5u65/KcP3a8a9luOriLxL561C/liK8l+WtOP7+uX9dWrse/kGnf1Vxi7kf9D+styWXP7Zo/VpmP2V6/S5V+OcCXF9FpL9+Wb7qbn1XoPuxKPrpa9eW76V+Fsn8b7/92GS2+NrNJam+dqNNvq9fx9+KZKm787elKL5P+Ll18X3SV5HqH/2m52/JdCvH4h7sltnfayJ+L7Hvlt+Ocevy39Li67x5nOavzVr/NaW+zG+TgP8s9SUR7/PbNgre76W+4Nz01Mx4cQXKBemNLxSMcZUEVm2ofcTprUuJXF7iXLXTm1PaEMYoJ+OlBskt56XCM93OiKWSXqkgqzLe6+DWLhcOGhIOlL1OMZl5MOYOVVr5kIWbDpKUOiISFGImaA7XC2PXPTUEzFo4GFv2KmP8il403nK2B0xZANMc9tfxwxYweWa/j+EDueeLpeM5O4kIhihSzaDNpBcAwjIanfqjkwdmuxkbbRCaur1LifxQvAyuao7cq3Pu8BHNdKqgZmBgSWvfJRKwCioAiPv/qgKuEjcPogMwwSrSQneAnUF9xfJWzd7JF6vtpeIiFJi4CRFgVi9AFdvP6A3jV6lSVeEKBNgNaKlC2DqQQ70C2C00p/Y1cihrlUgku6RB5UMCIzlLfN4jpGWtX873PdHZ4wHvCIc+WOp+siHaN8zrU0Lkx9q35w3Uk7WpF249Tq1eC8oLGvtwUedTvIVU8cdPDGMWmoPWCd08RDQTerNkMMciREB65dSc/LmfeYukfLR4cne/Sb6sXzsJtrapafWgOdlAIgq697hjML3eguW09s1z8Gi6EW6iXfPtZ7GlyESjwPIjOjDV7CGkY8g6FCthFdC/0+wUKJXZGPv1HC6PAGs+ovV6QPUBryh0RCed3Uwq6KAMky/lQxan3C9T491/Q4xBmUwwg9AfE6CDcyBfyRwo873lWq9/P9+YsaIv7eYypzu20JB4ddcFKxddPAk/4BuqRROZtNPKt33t4U+dIXEYWyUCymkoL9buk6upW45yeaO4+HW9KzRH9JQ3otfq1velysC400pndAhNFNRLLz56qBtepnOX0eg8kfUN6/HqiqT+o1qw+qaiMadgTQlYShCQmR2NJ3Ey73r1NM2/1kaC4Ii87OAImV6rAmgsVmQy5EL1CuSUAkNZKqoqHvkGrFrfAXwh2MCSGn6ABgHIBv4R9JAscXYdtVRKy/EK74dTbyNSyeCYVe+G3LT1GcnG8bpJVAvfL7y0SJSwzKcd825rZyImoPCjNMHwc8xZEnCFGTEH0IZBPwyy8JnNqqXzFupCayJBI7cGTXvrILHxkr3cJGSyr6WzI4GIZ3eOXgy1VI4AN+a0V2/lISTuW+rSGF4W+l6/brzqW0cGGFAqLyVC6VWmTPtmHMqCmQWthp7/jAv1MAkvFUeh61IPtIb82Xely1g3MW2nt1uvakk3yqPXcM0U7O2W1nST+6lh4MGGbMYOUG6P8T1Uq1sW4aBEk4eVVPnqY3BLtMaTtg34A6DIEoHUWK55oEykUzjKseKyURzdpbVUv0iHlTs3uzsITc6etzzYaoHnWmSY9ks+4fVdv3ujIcsMBGCXL9e4SNcqR8heEJt9LDYFcJv6w5FC5m80pPbAO/REd+Cox8VJR42MKZEyLZVZ4KKMz1tQ5sfdPQrkzERL+3AZ+Ac3OsQBdp1D4dklp/xJap2GM5kWo4x1vXfzpekNJVCvgKTSyhtUZ5DWRwR+WHl9S3sVBaD2qsVGGLSnGsF5QafZLryq0jpw0rYT47V8pNkfL/wmWoZb9uDwnN409s6U5ut9ydZT5QV6WeMRCJJUkjbusM5zHwDV8M4EqG0/kbwn2OA9p8FHivKgHglGr3ZPuo5Dcddew+APhDrDNoEfUGMl7AMHI5kSbhmwMoFURmYuY3895ooILzX16SM6T+LDCPzbXUjwXn+krEgm+Iweb67T4QLUZKTN2I7/gAFvY+OQ8QzRMCbNWMDM3v+zbqIDrTjDhLSDdsBrwOwqyA9qVHJZ9gvI7K6cgbgLkDq8HJkqLi/QOeiK4q7tXrZuy1cf/wBdKqso/gOE7zEUpGq6KNBTj4pqCS0k6qipihUTAvkVKgrMHTeORgL7XlDKrKcPd5ZojZFLdKe8HthI9rA2BjZgRX8sj0/txa+JnMJSon3lEWaaxnIYjyKfoNL4OOS3OvJD/yDSJArRpoG9vc6e0tQUsDyxqATRVQMTTpjTz5piH32iFGHhOnv/9LU04W5FCxiAoloFfx5iJmpQ3L5fsV23Ffe6ggWYJonu8c8bdTEehIZY4NMbm8Ofpm6zyPOMBRUYTHIBXsyf8FtfuIdGKAK+dNZo20qkwbdav8GAGXrzCfbB0BSJ0CuyR/Q2wzxZCDruLmtdOujNTkg6z21pufAlcdUdOQlGEOBqOglrIWLXnR6w7/icd7SCOTRPWlraUsSgxqHdtZD7Z7Gzat/Y8fsyh/jdxUKVVQl6vnGo9+qK03GQ2yTCjwMzjZ1oNI6Rm/B2qzV2ApUaEqOSkSsAmtb3VJNXYZ2frvm8X1ER5gwKTuPw2P2PG/jcZEdXO9W8BrOVauKPV6ljp2depB2Bua1cLacf+YOWRrpkdEUJdulxyc0MvIya4pJ44iHdSspwUgiuRp24hCE1tfEUOh09OrnlbYmMqRkuw7HOwSolINep08Ghc8YMOO1R3ThSMzc9XHUGgyGVxsLXIVjbA6eoEK1kignZEvIr7JBD/oHdAmxVxf4QPxLGmewqo3yHUe6ByeL71t7e1k1jEb1F8RrerF1NuYpGa63xVbE8HsyfsdOUa1ktH2zA17B5syNR5AYoAziZ87HjkgdexKSxWUTy7ICaXInq7IecqzL+Atbd7+EydYZ9CPyk6pNEibOmnMztKTEVRWIWVxUlvJIeOpOJT9c+t8WnpfRdjVjb08/0rOjS3PdTWjWhIhFRXUt9BuN7ylRlc0iceZ4TIM3SK8mF0U0+1ZLCBULsamU20HJyvvZR39VJSZVFI1E5PgYzhGHwxl1as14vqG66RxIIhMi7PXHW6+N6jp9QpjxjhylK9WRmAWcSZfe8eaj7St5MNvLeWOvLMw/npI+hRF/C0WGwDM4Ppvy85brTD3o/cVfy0mIZ+FVAQOS2go/HKb30WWMKRJlqBx3Iob2tZwPJugWuxYvHKKE9psqzCvlEqQ6fZUKYpMB/IOs9RzX2KxPdq42cKHe3w9gYUnSi3yfxJhd8QsELg5KtnHwkhWF63EuB4cSL0012DOBWlK8CKoe6GSBFVTvM/foC0lrRvKX9MuRhNgLhupRTDBgKBy6tyGwlmqXcDUcT/2LLwF8oNXnIYujvNOuwB2pzzePdbaUi3qbqARRsQUQTY1fO8livvWFkYf68KmF+vbI+Y2H+YzTVUb5pi6mzW9aiis60NF4SvhGM6snIwRSqVFVl33Jo8tL82qpbqW67IFbRLdzAyT6PKBbSm/qowv3zmk06L1UJFVepj2ocmIrEPuRW8u5WFfvKEmhsyky9YFXTKnvvAfFawj0ZEOYdKDw0FyyZlNZgH8aMxVVHVM8HlhmKGQMC3wQeSM6WwUBlcy5i7PNpKXBmzqbOxX+wcpGMlabh3MJgfiL7A+3lOBZzqMwShX8+DTJMsM5NkBJHtvXdzvmM9B9Ad5L0TX9esnqZGyRV1MBcCcbFjZuKjdMK5GtOTAVK3rfaGpgkdywlKwFgIx4qWtMRGqZuUHZ5+JihoFA/iD9ztN0OlYjV8yVW1sZbXH0fEzCBc+kHF3rtMIqOanjXe2ojetqPIC9r3lwhC03xQsdCQIIDXHosLX8OW3HfXbWh4vvRB2wfAwXEVyBPGEQrAD6tIkv5ATYg8dH7aSgE4IOheRgpt13LQy7DnfNHig59yAbTDzClmjrevKgEatB+D40dDY8HMIYNTTiRJ0RTjHQcBaVkJDFzAzno4jzH9bWIdC8/BL1afHp76Ef5rDJFZeetzrqgXRcXWQEKEu6VFQ8C35sHnyIL+PZ3voaW41qDZyxarJ762g2ArYC5TVxkSGti6/Gi2QgHvHLU3hwbiz8sBqkkccoQtK8qAwFs/4YGiEzFnPNfHjiX+OcECXhCFjuxhJEMLqvShMqTqgOtfTLAHzsLlIQqkuJrSauQLodcmumENRLbQBfIrm5+F6J8c92SCZ3r3tFAekXLeqlCCybkB+neFC2wlXC1Kct8diTzZrcDViKZKKkEZ/upnqdyzrRJdsf0sHX7hn2jgWClL5gYy85emQ/k5xCujaxjd/nCKXAJkMV905nUEVhps1hkMeeNbLgYTQ9oQfhDWJpWLcFhYfFbBmeKYahWW/g3Uxp43nJI6wlqxQkNF1WvjBxR9pmwo6ha3KPk73VvrlQAubIcMpaGRAdTpQa+jufDKpgz014da9XZSRriyiyceCiC0hinINY7QsGtgb9vPs/IkvFoc/RUuownaGiWbjXCHEaocV8gh7uyvnu9UGeHw9lDDq+rwt1UQ3xDfAjAJEvjukuceta7qX4XAbzzAVUZz/f+1swfm+UjtS7hxD8TlqGnSClrzHutDGY+Gd8bJplkpSOJUv91sp2n1s34mcdkGuy+9g9Dmk9U/5h2wh5P//UO1rrwRt2gSZuwNZoL+nR8fhaNxll9LAZIGF+LE2cfGmnml/WsHGNTKVS8WRTPvAou7hi3prfpFilYs2CeWodP7qmNICzvY7sBW2IpHrFO1f3Ea2NRs/DhxyPP4Jn0NmHDeXGdjOPvyXkZobUsQC3X422iO5cdrY09lqJdKGTbnuQrnB5dNXHcBxpBj6YMgurATUYqXYU/5Yj1k8aM9yD6s6k9v0CdTV/kCBicQuxeVNM7pJVLVyuK+9KXq2ljFa299JwECYg41iNLvb7SmM4ylvsNPgELigj9svDYh1F12dKACzCejw8e45k8u1ms+trKW3f/NSYJo0hkukLTrNet+6vzxhqF0kYST7sz47lVMUvirdjrVPNeytc52Useb3sifpm9RRIjwm0ONrO3xzMTImFmX1/H+CFED5OhAU3I613vOLDAs1J21IN6Ne0qsKRA7cDsK1tlWnSkQzUZogYW3lhCFlfpRIMeAW/6gW+TDEg4aithcK+TR1gReSok23XtBbBk2k75c0n63lSesbkIhCkHegpytoZ9ZqjK5DMk9YI5dJ3uANwYziSYVublf26l5KKHhqBoQ7tPCO7exEezC6EcxpfewbLK8JBd2m7gbON7nKIiX5YcceNFf8MQMfl67I4u/UIRfGfN1AHKquiWG1/tvL9KgtZWOKuiM3yml69Nmxshy3G0CzEa5WXyBc7EUE4mdVM6qTq8BmGq7NBDw/uZDS4kW4U679R6Tnb3cXP/easBErJgA2xz67am/Cy8uEi/XJnSXsL6dq1UC3AzFDwQXx7LHLOY0bmc5RTkvLX5NUJLcJ5LKveDM+0f96u2C5SC8YeLDPrWl8u6Ywmxs5DgNqOiNNaDaekj2OI0FpBFLAy1rZN0aXresNuG0jnFFUfLMPWM4yOTqfJcNymRqsRPATNdDdkEP+CX9Hh+4MLhyLHgFS9AlfPBjokAJ8mTPRQz6/aob8406ODE2QLvcLFtfb7JVZkDmuxa8iMgBwumIxg6UsDRzrViiSHJpspTw3EO0KbeeGgELx8n5tL+TDw6jLPeodkGI4T1UYqbu/TgZsFazwf8Y60WXrQUSRRYBqvhXU1s6158hSopCXPc2DXouFSWWDZ6WAdruQamO05fOawDyc3u3OTt5viNnb6Y8FXdFpji8Vc4JxtHDr3w7aETOtFtnc3qOe5/Jffc33zm/0/cc8xvU/3TUfTzA/byteH51zDL15fxr8/hx2vsih+fz7+/xHdJeov/b0e9vv70qXz5eX31tTf6nz+zfx0nw/K9ceGPDt8/nTP//h+4Hf5TRxjz2/LDH/HL7L/27/q+g1+/43/v8JYMXx/6z/++jv99G/JiXtavW7qnOfxpP5y/49X4J6bS1UPxXzmPf843yAxffs7kXzWRf6nb8M9387+32/CJpcnfuA2/G/+B2/C/fJtyukgSGsfLvPjVbfjnVvzvthJ/t/VPbsNfO/51r8dvt/Nf5PXX0f6xh/HX8f8Dr+GvU/r7rsh/uFHPl3Pu2y33tbf4n9bDr/65P9yFf+tirMtf/Ih/cRZ+t8y/+xuTbB6XnxuaH+O3p3H5F3n9vjb44ZwfXj9OKh+Hch94+Z82+DERNdVf7mMAaCdOWZjZMiGLcy2cUTEifYwCqrW+xj6AYzMs3sXBEyyxSO/QPzhWaCj2qFixFoFhfcus/JBoSuMtFTNjcs/JCT3YY2eYOp8rV3sAWSh+shYRGIRn43ipQhAE44wBYplmHhBYWAtDTeYeNfZB2BGDCzvKqC6IcxBzCgBQ0xIz+QvTiuVRSfR2AfVz2Br6gxf1VIIojhTE6IMQqOV7G6rgeFHgDDQwOEFPnxDHgniKYKir8QEOqwQCFXis4Jhv14ccS5PWvFQXJLROxIM/PZU6FXInDP/+1Wn1vnlbb4rUwH17fqb31JSvhwvQKK1G0SkPDkuC7otvgmfLbwvNgiWtDnCUBsyNAwIFLAkOi/xy5t737zXypobx5kxecCqef6Y7J9QszWOhDX5tMXQKMNbJuyibTA22vU41aWuGVlq4j09ibjz+cAo7UX3K0LrUhl0XABkhcqm6eD3t4bxQkcsl2RCY+IleHUGevMznubqRxZsMc7PP4nMDAER4hutYM2obbqvMiZdF+I/coMGGTllElwUIhAFyaHbkeU8V0lef2PazUBEUBjT25LM9olHYGGtkznK6+hDVar8oeWJJ4nOeNQKbPo4+9HHsziJAVmS33JtUZkQL9RbfCpl+2oCjhmgh4GmW8u8Knz83VCyf1uZ8Dj95oYCMM8WprXn63uxeHrTHeJNWMQuzCWueFa0QvhaR3EVsH1CZTfwgu0Z4HoLb7iKzqwK6jY1kwW4Sou+TGeMJYBCcXZJ4m3kKt1kL7/uwx/OmG6NsJl6nlmhZNliN7z6b4UNtK2amEkLC/EyStjxBsDdkBJQvrFbR13LKAiCEssHwQl237oFIceFTmpg9TIWXya7XCH+z0iV7aB19faz0gTFZyxWNygFQuOyHo5qzDHbFizxLaFjqLaqtaw8g39lLpFF2NyFohS7qsc91cl3DlhW9eQTgol5hveZD0n6mUunwH480YvFZno4k9a8jTXHNlj7wgLJSCANuE0yw7pMFhM6X418S3RTARl3dthNiu8vbkAKEmZgKAuMevJtBcoZNmFaPBVwxPXp83FAiIuFdX+iJfU4jLF7dleQamA20yfP5Y38ryLEdpLycXIl4MCYC1y4YWXFQF0FijX/EM1VrSUn3L+GJA/T7frb6E77iAYJlhYZp4GbtQJHOC8lhbH5FHlMsHxZ4HV6yUgxTFOZqmf6L8asqYm5IjyNHQbJ2aQxE6W0ok6SzchxYQs+OZB8IIUFMW56CZZXtw6gYwGr5pm6CHCAd9poYfnmZKPNkwIdVfY7MTrsklBbPOh19zvY2z95vBHFFvnrtZ88mSd9P+KXPYYHG06nBnrdAKNOP+FYW/iIcrr5VybNHW7cpjRWyqnbPS2HwJ2iCK0y6TVkuUc953xshPifyxRH+rM3kWfMLvjxZ/cG+Cy9plIc49TdyKQQtVLcaGxxlepOSvVBQGTadv7BP9bHOy0612ibUIi3oeEQJ2TJGM4y4BDV3WByRUrnJkTkyzz16sJIQY5OGIjuviF3L9XmknJCUdQASKFTgTDdd694SgdrM/nHINan5nvQdFsIa0E0icOrIkIj9uAf4yGXUibWHtYM2Hz93SIva0kiXaSaiOS87qHq5epZCKKQnkfR8ztGSs0PobFPaWhrum10gihyafOhpNGnTK5qtCrE5D9aQFctt5RWI5NL2ai4S3dtzvnToMV4zaEPK5j7gFUe9jvAy6Khry3kyU+e+PO8hE0kOyz3j4TNtjEOWpoDzDpX7vrIeQjwKhsuldWj7k+VQEzJGHiRUT6u4eZBzgiMIuyBWzqVDELFxazJMp5Fm/mkRcRnlKzOXhjf6Dm/llchUNvy826Z1k4U2wgciEwz2MIABScsg29kthVFrf3HzQvmx3ZWKBtAqvTCiI5lpdE//I1Q6XcT1vhjyqEn2oFxgHHlnphFJemtE6D27si8g6CrXhTMhPSJtxutF0wmDGn3bDRyfpmAGHMRlKbB8Q+fABPhGaoHEF2vCL05dR/3Q14fcFaeLPw08vqC5vLLMWjMuw9rg884+SMzNPVIktHhbqtiAEFomJ9PxY0cI9bfwqUYQ1stJJwAzA6gpikAMaQ1EA9DesJ1LBlNuHJyXlJQexEtBo5oJGQiGepAfqHGdUnt3zestje3m82aN5bRBsViPHDldkOrAPaUihty4I+vmjb0LqH+flWSDmiBKreMaOB17HytvkQLB06osLAohSA8AVU2l8ZqY6g967HD47uqxmdvJJiGq8LxXeTVvGGzrL13g8Dt6q2cOeX1FfFeLZEkxEsdbBTFbKSRXfk2piWgkcStNjr2hd28TBZdxh9TWhs0rCnCNhLItDLNkSiWOzOfqTbgv3aw2HAXHp4mCB0I/6zZgDIeRFK4EblR1MgIuM2WrIBhrMaTs0pcoZC1beKHsAnrTrqnECIxxqohFkINvJDjwMG7huIDheueoC20WcU1HXpNCIcYUDNFPrRMtkyBe971zZMmnn/ZK4cUPcC1nri4fX5D2OI3siFWL3xIsmCT6LZlcNxp4hh66jnBcP4Al3hQY4brP4PGcU6V30KWEp5YpPEOHidRLpYDrl7hLYpfadCWMPlfqc+8Bv2SD4gmaE6prX0ZrC12mivhX8FJ6yBJYTD+jEy/bLZuXDEbCiK9NNUGBYXdfm1GCq+4K62rDW1z0tW736nN0alXiCRcQOCfez1F5wRnOGprZe4+XzBNNbTSL0KYGrzV9osXvG2CTZAc6mJtRD8U/Mz99uBIR9vS0Xg8IYmUIOVi8jx/N08rDjMBgxgJzcX4zdflOA9S5AdF+4E2TCKmifx6k0ipbyoy6t0z2Jm6bCBXum3hs2q6lXkl+hp0hLPXDntOtJFstH+0WzFXp4RkbGr7HeRu4c9Ozhhc68Rwh9I1mmXTwrjzkqmit1CIuPUmUt167heo+n0rim0j22QPXtseug4OW+8fLg7IdC5mEGc6HwdKjQvePE2yRCi+qOk4zAQVsz4XpWMNqJ9hi15f4UjsRCV6eGYQZkpmRODgGkd3rseqSQU5s6NLf9uhdfXin+axod1Kb2pABpRil2L/uOcalNQOK8aqtN1JIhoWh2eN9nrEoOnWqPtMCl5Fp40YLRmgrL4Bzc8EkwqK4l9XcGOFHUDwjoH+/G5HWM+K87BeDcGTRdMdS7qzudin6cZdNDlOwN2p3V4OEUdgTDMNHrjhkxspPcIm0bCu31ri2E8zZG+/3uhuYA+6g+WExhL5Sb1lKacyScdls3RMjlyapGPVgnrDKcPoKv4PBe+D3YpRxsXavgxf6zmPuxZe1etamTNwxqPJl4wfmoerPij2/1mPykZGKlNmvJYvzGrMEkc/wbUVD+jaNWmDcxgMJPLhNUzWthnMUk5QKELRf6OP5mvZlzzGmJUKFULtUalKSqtjbTn/QmE29FqZv1K+D7hS9qt5i0OfABnISI5mZ39b+ldueA7xPGCHksmppBs6Kol34MM7utwy7hL3Tk47AHQ83p48U9E4FHRWflo4PNd4qQDhLgOnGH9E3TPdFfgQRCUK06lHlgO2jP7ntFVLcrsVXkeOAxQaXxL7UyIwhcDZettWTk0o064UJ1HN7VfiYpM7Le919fchio+/rdxKw1RKSyRsAQJ1Y8ph8/zK7KmNxV/XZg4Jdhy2E3+98fpTVbEIzqNNb0fbD2w9Xa5wj4v10zLngkZ74UCSpWsrmr579xP2N8t6kg+BakIavJixWg0sQlEB1xaLDiGbJ/ZMPl4LRBRvpqD0DH68GosJGa7VdK8fZR3cBowWifapIptkveGNAb7CQFOg+ZFORtnTZXttAUWMSZWDb0b0DVvmncdGmaHkgCq+LJb3HZq1ecMxaM9hrQp5T3Z6PEnWu7l3ONjk5ui3T2icGJihH0XaysgjxMAAjaF+GqltVjnFbwLJx0bkHwlsQ0qSNyAw9Dnwv2nwB4f17nQj1M21QQfT7aZkbCL5CZwd2lVaxYSXSDGnmmyX3mp4/j3wbi0wdcmi4gXkHwKdOzkcgontJVNBxtUICIXBSRLCVloYd6DoF+Sav+WMqRKlKN/uhlLseDuTzZSZMetZdnHzZudvmDH1r2g5aHuKedc6+6DJHr1Dc++xNJhH0WEjveVMkW4zhqPiyWzdIvqib4LCfhGGt6f4z7WwE4SshW6ctKZqPlA88EInDlBm3rdTj8lF55L/XnQbo56LCTPFlD5nw1U/bxxK/1x0OxR1WjvdJ/Pa6JVDaq9Q9rJGUEBubuNVf0kK9Xw0OLUdlOfbpvDQ5BMPsZt26hm1qTT4fql0/izbJgRnHJUSkpR1GEVR+hbY7ABKfroUf1m/Ec5akVYpPzt+2FCUfAqyOjlPJtNXZGwC5oUsXj2Q8klKRFiyjJkkckhpLgqBDnm9yMz6kLAFdchOxCYb3KrBkJ14UInEQzLvhwYQi5LQgj6nYozZhNL1HfKgi261D82ZbHZdv7fNGcN6uciUIkAI1WNTS+U1aMOgEjdAl5t3Jx96hpIzxDNIXDkL7VNgSzMuCXDYZnFFbl2S6dG6rBCgAH6BPXz8fYdv1725pO+Dm3UuODyASkunEoB7Djs/pvRpzmMLITQlfPnHjOrnt87YNgwokoNiVL+8CpJLIBRCipFSa4jfsGLT1lus5ZRIIe6rdlDTa+gpEh3aQL1tKY7Jmf7zZhfZbogjGZaf3nKBDTyrsTqkIx/cGQ3cde3nmvDheLyWNqCQwyhCyXX2aiXgMn4IFjUfWkAq+pVgHoCqkoMUt3QVtaEXs18CbNr7QEUZALelWl6YVr1bpiojPdKeGcIDhYgBHjfcBjF5CowGhL/S9sGL/8Xo6C7Bsnj6ospi28OfgbIqZ9cDUD6rML2QFQKhCTEw4jPo9pChtzkRN80wWe3nuJ1oLqWo9+nz2MrnwGfpd6+Ds3T8cVc1hGhPdNgYck6TfM2zawd44wX37BiEDCPbWLgewNcybY4Xgpb0I4DnMU+oP8fHR7venSKfEvX0lScg5Lm2Xs4drn2nhQtScDLYW5jOIrqAmNXHrQ95w1miABzbT56Kpr3OQDg9BlxQH6TRKbEBEF5901UewrMBg0PjrtkceRIaVtXmvds7y0zMkVm181xxIqgXLjaj7OqbjfvvovGS9ZveNKAYGvY3QgWnltsZ4pEsTfwwOTfs1QpojihWcvyHNpFd829nogmjefgOEGIzzjYFY4AZNs4mCE38bUQEmXn4Zs6IIxszX0g5PGVd8ms9Cnpl5RnAgpkmz5jGDyPiRFCHrP8qb1pFYUlngW0eUj0xNmqNsv8zzrVqX0/D4rL3xsUxpUYFKP2347KFpS1U/sLWNJQe9aT9suOpNBqri3+YdlBsLbkgquufCmCcyWfkWfu7r69l63NL9IuPrU9LFF/5WkBv/yIbpSC4u3zcWXo8ujir6A2wCTzNymGCHefpRdgOLzu3lDTWFCIo+9gRiNPnuNvVjXHLFAq6r2gwRcl8OVPzcNJ6SM3rdT7EcnBSEHxtCR+/FLJzEqC3Qd3wqkWW9KBzrVbRF5S6OmrOOIhbpJGtp1VxrJku4ReBf+yGRqgcjCJwWt9V5bEkkPyM2P099IYV6tz4EaK5imfn9g83fAsp/MjnhQWU4rnx+MQHODSsNFB/HGdfyiaWefbpOGjwjZGmIKMGZIYzBakvbG8iLhmUfdEiw26raoE4kw5DJQi9r9Ahi8wQhq/TUB2rqEeppved+S6+vUjGi8OBRZTIa3aQxh3vYcinGubZCrNs6u8kBEO/yn3xk9qdGrwDdx+xgD6q+2nKtnSqes68ZzYU3bpC8GDk+bHgNfaOMxsqhbUIoPatdhKTRgeBqduUgPe0MwwWGJDC2M/Ymi34mqPKqYUk9p7hMecNhj0846oPDWOv9EOYbJas7/Rlavpm6i91sCs5Is/5gLZmH0y42boPk6oegS2OsbsxLabgepQ/Ah7zdrJjMLIF3hUoNXkm3oXxVENdjm4tsFADbXpJe3/IXp+4LCx1tRa3YN/ttRRBvLKNR7DayusRYXQ+hGiDlZqTZhmYCa1h4mLB8mvg3iJWb1jqdm6C9scfrNrn++2T4tAi291qHvngvnPaDT5TcOGtokd92N8XQpC498dvuCoAwzaH61X6vq9Vzt8/+tR7F4mE+r1HLbxkJbxmxbnjMZ5VO4gqMH+/R1PtSXMiyWbIXfKl+mWGaR5Gligz0h866KgaF87KEzQZu27UdibRDVwhmKECa5SKIOSlcC4WqhIIqSE3V7tbqm9n5nQ9zA6SNxMCy6vV0ViVck7lunyX2PFlziVWyH6LqhogZG7pa8Zy7Zk7JGFDecYwts9nxw3v/6C/WiA9ay3ZvIBNitp5kTxGzodQiKM9vJwh2wnluw2S9xb5AEv21BRgaKx2e7TQnSzoY7Z+69kmQVDdVy08zBKCHozPN1K99zc3lEIwV4ug5gSGOPRTXBAa62GRZLYmCSPaN9TRHAuydp6lv9qLpXMiOTQtYt1U6sM3DOzS6FQ0xvWhgxcXs/byfG+ipQKKBxryF9Puy0vnxgHIq0Iht02OezV4k+7kpQBdGUq7Dej2Cg24CgAW+YzgfdCMpkA/S6ocyU+8e04Gwkm7E0AHO+W6NcfiY1gWSAQ1Q7fq107X3eHzWJXSTQfEX/wVuahmGxXJGWipTKgn0qzwrAgP41ujAYNncOob3Mxjtz481Z1eN8jzrIQSkYzfxG3WocTdgG/Cn6XuMeStG2GXvNTPp7xX1k81KPtPAuVNfHUGKhvVlNx2/QVjKZDd5AR3CezkJzMkeHX+UNr+6ur+ELRFLDBK0vrU3K6tfXJzBQmPxhcc3pLzh1xC9GRmcs7QPuiOejyqNHz3wDmBHxRlxffdSmOIHQflZJtwQ/6YwDvnEzYiEFBbIde42xCgMO7l+eqUNNmA6qCb9Pg5LSFJMV13Zp/oafBFTl4wMJM334p3yraL6Ys3dxZyybP3+PvT5iZvj053edLSNGp/1NaVb8OFs3m1vVFzQOldi0vDmoYelLAHA0opaWIcooWl5/K+dcP03Htj/NKLjRz7wX3s9v0MyxmX9xf3545xfnKB/JFb++3/g2v0nQiL+Oq7kKxDh52P7xeOa/HZ8tyR/mutXVMKfXa2/O1l/d7D+g6n9c9Ea/yhc4794cv9cCMd/ENbyL5zfvzSy4883+b93ZIc/4cPfRHZ8N/79yA6M/K+P7CgTAi2oBPk1suPPrX+J7CgLOsGQLPlqRf9uK/aXyI5fO/6ryI7kloD/6+8P9suZ0q8n/jL+rwEbx9fjm//ByX81vnLLZfHV8T9KC/8Rp1GOXTce9VD9WCq/p2T/XkTileS/LXU13K8nS4a1O2/190fYxr127rcE/02kRtKtt/Y3tnuu94znPyWVIxBM/9vXRdB3JNzX1d/t5bjNfypY8W+/fT2Tf/vt9xv+t9++n+b3NT/v60dhiuU1zustk7+l9zB/LtjwW73cc78v+WWmPy7qxqH645of88q+u//9rP/53/7fBZsUX1GNQvUz2IQHl6W8DyrmL8Em2Y7sN+tJmAshTsDljuiBN/rcgYemV+4N93T/zHoTCxtWAxUcoSJFMYrpjPg6KhvF7KvVUFQqtVyVII+CFDss7jAjcEme8MvBVpN3l3rb5r3f7p7OLDrXvg/7xUC8V1cpWxMEr+HrDwAAIIdS1e+V4QSVlTCBBoHJpLCEBsFiBb+4dPKkPWeUvyu3fVWIsUwSWUnq9fXJ7PdKOxDjsYp+iHn2Fn6vVMMyjqU9/lJVhpDvx7Bhsqn5f1QqbXnm88f4Rn0Pom4cf4n3jz8q2SjMof1eIefFjzXDOGRVUR/v97HvMfj/z8aI5JkLOqCnTW2Dr0cRZv1z8uU3W2mL0Kq8untm/ngp0RmopyzSZ46B+7C5/WwIzeahgQobeAkShBKKiU/Ecs9znKVgjFBHfdF6lZCFE+1/+o7osoQMrNMzKrx85CbvfbKwAXWyL67TpRGRZBHaiOrn2iI9CJC+uC34hTKtxFlYGyJdnzPsc7vGcQ6d4igncYrlqdYyq04ny+bhmaMynIOOUFN6wlqMla/NOVYwTiBdY7A5j3tTviDNhIYX5GSPEzqEWedJH1NR4H3Mjs5Yco3Mng/Yo9Rn1p8tmnYx63etDbZpQ3wFUsmaTJ19Oa2tUPYLtNnRJq7DJG4IJp5uGNT020dbVVM79UnEYWS3zeQjElmEMKG8GACRSXyHjpIEumrapGphFUuWH0K38Fegj+I78ONiG7NOetBTh4QcUJyEzO7l8A6KeC6u+lJQirw6/ep9juz0PT08eNdTojoRax76YfNGJUe4IeKdbQuI9GZJZj4cWCk/ge1VGYBCmm/HELKDToFSb17+8jrDziq+xMLWatMRLNVbITTqQo6Tq0cEJCdET3iaA4R+wdWOU+ZNNm+Lll3jpWMbl2zhlm/HNoJPQszP/HqPc6wFZBDCxdGFSRvQpEs9/bhlKmXkBC4KCsF4Mccg9MApgfDgbcmJE2+nZ4dXiSTNw6eTIh6kszj1FQf5GDWrbQ8MfPt8YrVEc7UUaTlWi0cOE8xJn4l6UgPmzSuiJOhOnMWLl/QHe7AKf2LqRs8Vtl3v4TNT9EbYCCx9PqoifXIpDgh02HPFEOr0Fkwl3Lz6kmbd2hT9GvUL/ehXs38AMSDw116AYX+CcwJHZB036GAUe5pvBaR1gHUsexYUJrn93+V9WbOjyJLmX0nLpxlTV7Jv3T1tgwCxCIQWtKDb19JYBWIVO7TVf59A6Kx5MivrdlX19MxD5hEBeHi4e3zuHguxkij+3IbkkeYWMyJMzyVq68G6JMPMN9VwQ3cLqrHO5bohQiTpUUwGzTD4q+RSULav6urc1+d1lMOLpBNEiGKMhT0PUbFZkMmA2bIGfJc6+F145c0eP2yCxF872XVNBHnaYtGG9i7r2a3ngf+jrq2xV7nNrO6xxsFZ3ZeVA0N2t1l97mYkdS0DK3EpfFekB8frr5ZBrYcaj4/HZMbUg62fWjttY3vwE4hZ+wQD0pSBG6iTBYwjOR1U2HMvc85xm9PebTLXx6FDwkNxX3azFZYJCN9e1tVMxVGdSdBBotXTOuP2MXG8WZg3zOOoN3y5P2kDYR4aXaZRlPYkZT6U1caCOM7AySRyfKHep+xaUpEZM68a60RByeISz4kOrqt+KHiU0BtvQZcitT2lc7Mhl4u+8lcledtXRFlJaCdd60MSEojvu+lJNnrcDaWgPZ0Idn5zoBkO25JKMMkJBSBokQOl6AW9SOeKz6hXRxnWQNnC0HQNUerhcog9LAsxRj1AhFvb/lEjgSFVi849UY0xyFVNSmRnS7tWMtKtF/P5+UQbTXDiax3CjmcWD4ikvlTsziht1906D6ynFZgVGouZkxH08E34rmUVj6mQw7ydsF1q04u8ZShYuj19pQ0LAOBXBCptj9LkqySf280DDKs3s0i7Y/5FdQCec9hp7y+mL7TxrNsqMrp2vHz9+GK3zv5/yBMfZKwPMSA+6M8QBIm+P4OW2azULu3FkURuw4eHy2WRDAIbyPpyXsrSwMzWQh42Fa1dyIuEbzj+zLUGR++46wHgWtTTPechl0QNz94S0XyJLJMgXeuXZsiFVohsUO31OufOHmRGJ86vQC30Efj13bZUZJGNTrosLTi1DFfpefGq/Io76j6W93Jic4f1puSu22Mz/ouP8zrb8uIFogQUlrHjKRJKi/U51ODOmhK1yctfjzARkPBvFbkXIuOFtrmrqSV5nFfxrapvFdv3h7WSry2D2Tqke6wN2cFaWbxyJp5UF31DO3O0Uk45ym4soTZPcR5cTGY5Z7eK2KZpZ2m4agu+JPT0vY6jBB1s9HDADnKQBKtmhxz2fttqjOYIo0xSNh6Usj9roj/9vvWzG1eCqpCsCvnzJdmocG0ez5I3nGx015uGEujVwtD04qUdaWPc5mN7MES8MSjBTvKeXxR5JvQOeqm314tBRL2poZIe8NH0eyYF6SVpiOOJXEoyFdG1EWjKclHpiK/kbl9bPhkescrCE+Fesfb017M429lqyoJhjJ4qqSUE1X5BlFCra1QDNcFhePU0+ItbijYTNjOjo6K+tfXbYVjb8N6jZifCgvo1PlREfU0M5CiHPFGqHaZiLrdKF94hA+9HAzBbJW7hAcNvQbJOY1oAZijjrcaLfB7xZ1pObjCirI4pQtonjWaaLdl5invDedKysHLhqIndu8Gg1PTFUTQmKHnVTEo3Xaydi8QZmgcsb+3ALS7XAnOmFbFclftDv9s7MMUJeRsEXTL0Z8MQT0dkuRk7rZCkHmLC5w4EB4i8IkmOhXTuCgDZ3iSSTkONkx9K9ezGbV52CWocbME9pY6JC5QFWoJZCoL4ATbIgYjJ+azEC0SfETmAaVoJoqBnFBuZJU7BkPBhruTDwnJICaNJP9eLegVMe4ngiWSoAbTclbovHYU9d0JohfVhKamyDT/bmFKXLv1G3iNS2eBof6VdMR0oWlSP/nrrpPXK3FpQsdgjniI82w1Fk+ZOumyEGwhRCqx40x8NVbU4QpS0UGC8rcU48aMv7bRgpHEjbsPZarRuOZt5CRbnNNloPkPXa3MGn4siDZgLiMahHSKbpXBim1u34UxHE2yO2rQyyEH0jiT9S2YgCkPWMyq4zZwd54ftxdxtHddovYbFFQk2om5z0Jp1ZhSdNxe02WrEKWZ5JC3gnaX5CvCVYIsikGv+uE8NQnZoNa9EAeFwh6fwLJIt7czBF5NzPScps2ZLL6vMG+DNOTOMm7O6IREuAQgVbjhhKbk35HG7x8Yj1ueAyZ7yLwWw8cYK0p68NhpJHGudG22+FsjSvmLH0HDEMtclckPgJ8MqlduixRcaqp3D+SjLc24IwFaLzWJgBEkO4MEM0tbhfYizkkTnRpkuSnvEtMKSSkYQLQEmU96qzvp8tBu43ObzVtXFoMHtdSCsURNdczcvnRshkxrcPBBRjeN260DTSNNRuPa6SdI92RxVpe1au7uYMJDrZicEC93QOq0RyNkqtP3Eu3FD30XrWVYNT7g5RCBzUQdSQJn0cEPOmipepLZ60T/bRIHMmwtb7Jb48jXWnojyUoJoW7BQ0luptbMR1wsLXS/QviUpF1p4K873dAyzCm0Xbk7MkWONtyhiGlix0uFDr4H8IbrKIHifA9yNgP4M31aT9KqWyMEIGqSEBE3Ug0Zn0qwb7KU8t+S5SaSgjysO3G++cRDgb0WJog2Z2nA46GVXnJu2FM88A5JtC0Ts5bVZJMrANiTdLj94O25L4mCJmNehtWYotspS+yBc68AHoph2HCxvsxuy7sN3k/Z6OrjONimZMpyau9YHFtI4Gl+uPHOhvQfgEVJRuMOrQ44c2sUSOHR+zlkGtyn7RQL+49qmB7LG4RbIprqwVrFZboQo1UBqdDVs+NhJR+K2G8Q53+bnyx7vhzGHFuqz00gBboWU3MugJgU9sMFxGGMNgHdA5kY1XPPOOhpceuTSvebIT7pwON8QArWe8/VCj0yW262C0W50IjlGEpui4+ObJ79rOL0NbI5v5sZN1IU9f8cdvaeCuw9AZuEuJ7wBPaCep5qr1bLUoxAXDb8mA2d+t0ebV4UYr86q7PSnDl3uLQbkuxyhn8VxJVTA2L2Wwvv6jCqq49jcCYJo7FSAFGou6Bfq4jGzmXrEDNegVW1/snhO9qKbsYEO61iSd0amymfNbQiY6U20d+qdGe+xZEv66ODLSBMWalbt2oTv5BQJLSyuG6JwrtfGaNMFTjWEFtHeAmkhJl7mObNQC5zpqZUT4DXv7nJj0aUqdtCR7UbeMclhmSlkPcqhaA5yDZ22sTCjVu6BSUJLIkEcJm2raot6aJYhOEYT/NEi/EWj4rMIrtuwQxWzyY9XamXUxkAImL6C5bI/7VaWpgkzoTsm+xb3BGoLHZwT3RTtMvAHXVzpiLWq3Z4P6nKHSyCABLGnQ8HXTSwza4LfEIiitHpTMTNR7hEkRLPdBuqNXDb2s3q7oiKlCXxVd9ck3B5Tvrv6czcaZpZFKPwZ0vn9Wd0QnOf1uIYxCOP3lHuQdSbzeMKUnaPlIsuKXPTrgLz1uHBRchboGYPEy3I783sx7i1uXJ8JMVp+kOoNisa7/ayl0B2DzqmZdpYZSFdOWsxXAsJEyQ4Pd92VWS4cbLa/9Wde1Wpp1XS+I4GctD7RpwhNbPWIohkGL526uCnA61GiBx0sFMnT/oaU4oIcNsRBsdrIo9IIieFxrc5Qbc8Od41krlwxN/FaMlR+xK6rmdM7/TnT3F1yPa9KXD7fjBuWipDXLOzw7NA+QW/Rk367QLCcJy2HLnTpBFBrjNXV0811rb0BanelWaxk/lIAoRBDn9ko95Ks2OCYpM5M1TJZOJHOtLNrkN1hlqZ9E596uNopwhHqF9UZV/VVk81YTd/3VYbRjWcIRSPRsyjZ34QWj5s0uS77C3wy6AiT4P0eX3lCxHONNxwNS4MJTzP0PayvQO4hUArp7vZGUXrqrRc3gsBzkIkvDD/FtwJpsJ2syxdBmQ0b57as1DnwKzsK2/oxDBPuagYyRO+mRSBPBvw2ab6iYA/0BxA0Xy9xB0m8x5R+3oCQWKcPjd0E8rpWyaTFyPVqx+y0+T2WqCQl9W4CzHNkFqgcwzmeWhUgoN6ZWx5kwjs2UBZtc5AU5GACYBGLmtcX1p6kMft4O5VRu9FURL7ZAbKzN6hM1JwM2QcWOIzDkfa6mX6RNkOrE2SVUkpSLNgRkk88HdaOZo2ei/cP+hgL2JhX3WKn5wGmglhMa8lGCeY1hw9nhI0CUzotcnYTygZ/UfgSMeU5gOgZUce3dXRpdxtaWAhW4I6Byi0+UkRrsBcBxYlczvxtfy7nhr5YcRwbzCvWmkXHubABrsF24IQlmfkl8uXLZj2bLcdxz/Daclq9PYcKqxy7ZD6f3/jBsZYInLUVwso4vIDwBA0SsqUv8XVzbU96sEir4CCJ5krz7cU5GbbmUt4Cn7i1YtQUI31nbTQWKPGWdvk1NY8Nd43347D3iNXb8myD0ATYYHIC6d08WjPgz61bO4K579TZdf0650qOiRUeXAi/YlyInBtla8NmKzz8B/ATsmQJc74Jq6sp7dUpT7nf26ga2h5lQONQnD2OB0kefz42C4urzQMnshCIO2gVOxqxcI8HP/DjHnNGEpDv5K9yoKneilriG4s7mquDS2L+oYTOatCuBGHbrW3HWeEmX5NQOFg4i3PXqaXKamAQ4IVblQnNBRPq52ttUUeAgUxy/33aL9Gsq6OSw9w2u50W1my1ODIqbhUzUbN4KLAiL/SAE+W6bE6rHzj/qA3hCttmdFDtvXvRPRcEOV1OaVfgZ/kzCNA7k+M3TzH2ArwKw5KzQF21dZvDrSKr2tb7x7hAwvbJti9r60zzgV3D7NG6x7CpmSHLaDnn5pewZXdFhFvcwU0RL1iyBAhZ5wJpj3MEfBtf5F3hdu2uKMkbfAb+aC6gj3vJdA//a+8h1FpR+13nbedNZlRr4lTM9m1tkAUPq5cdd6w2xDnaXGQeYNG8ZVwqj0zjRF+XTAx5hUJFBNdy5Qk1yNl+m+AnaD876h7dBz2KUyzv8Y1PkfW+FevAnJ/mKkXhrr9k3KPjcPmpzQQVd+YNHDXcnteO1Jrsr9WBU8p6O84hlPmaFkPJX9PNqV6drjVy3Ucl6XCwncwE0mOzpFkEKyJcgShAY0wqJ+p8WViRzfJaRxz23JEN9OaKnDucZLwkGaqLIEknQpwf2ro+3YxhWTgdyuSzlaU4PZp0KwKiqYU5F5EMauhInPW7qxLImDPGBiBOIi74zt7rmpe2lwvu35jcSDvkxqxWmM+a3GWn5lzWHwd/qFcluu7oZGaKWzq9yit3tTuFhgrCABO2OWwzGsJBYsfFdjjKuvyanV2xHbZFrfLIIgJwxle5HJAU3q2vko3oTB8f22aBnriEIpUh7/2Gkl3sgOL7YnnXD3Sgtql0LRDSsnWU35RwZ+JZi+gqtzqVbQ9R8Ka2ky0lnWGPx51w8PZFGknLIZdWcWMxJO07IBdbRexwPO0WKAd81YVTdtRoLwawJZqTgXPJInNY1F3S3s6LZOu1+6qRkvFbd+q5X66odKYcK8dmD9ARjojOa+iEn6mnS2cNhGWnTN1ngY/cMpICPB8OikP05VxZ9BAxbFKsuSGkZ+rielMLMzyJWPIQZpu14KlpE6xY4JgogRW3nO8MAolDi8pogD+6hVxyMVtFriVcmmJno7gSlegS17nbrA0bx2piZ8obbe6zBUTrHFmt73nO1YSrQATxOrtvW0HidDZYuxjHltsh21X8IgLmtB+CPc/q9zg7PnH7YtWZV6Yi9aJaXfvV/mpqKbe84Ox1PuW1uxDEW9xtfy0iidvS/PVwCXCDZcexoxtu1sINYUk8yCKf3dB2dmSBNQDWlrVQEHLN3mKZBMkwuIsDt+cJLTvmmstaVINltdFr2VKkVliL5OKiOeM83q4IlrOdelnmO73eOOCuvjpyUqCNvgYgQBCC//Z8EYoRxm4RQwWI0IYSz7MbWwGe7xiye7t02HT3GHPEROkx5riwTkfB32+vV5A+dtfskR/mcZ5k8cmfyUybVUe73x8ZUZs/5SfRiZujAbupexl1o+PmOacE7WgvvR1swnMJ7GTRLld3fLdmB1MkA2HE99KwN1f3DJK77+E7FV+PVti9y1dB3UuqLOaLTDmX6OGUOsyRYiJdYuHWlQS3alupCvXiOlNXRciDXHl0RzFeImvJadWBLVHicnz2Q88+Kfc2lHcRl8dOrSgeRJ+HwqRP9r4Ib2vc7jKVXtxcUlG3B1bVrxKbf+uOEoB+O8oRr6iIgNhEexqfrAktdXr97LB6jBSzxUZYP/vXk2iujb3XSg6CrlbN1ha84eW3fxpQ3q6j1RC7q6NkH322XTP2zq/WyVDMnA1XOry+l0zYMnFFqwVcQMjqkGAr02gl9loKSq4rK2QDK13XyOqc7y7kOd/C/ag//5ydGgsuhMZqSCTU6CUpX7fwPUeEzqW7ttpuvAc/xkXj0qrEY1dukXr8hGIYqXNIMmf3sYrquq1BJ4phFrjDS0oh0GNsa99cF5fYZq/Yxcy51ifQ9X2sqwAImYut4rK8ejGVGeMTk0wWKt6ZyrGVGVxcbkpp5gLjBvpfoiuR3JbcacP2uMj5zWm2B/ZwKkv8vC/zpCFWar2PkPyqUkFDh3ZqDG5/qOsZDlL+ywyjUnK29toAG0+iKbZrnMpc/4gxCbJxwnt8sPb0uDjSxpxZ2InbHx0I1mFm0cbHVLFI/rKAgfldagrrclUAQWs+Tr4SZwAixqpKqws2nBmdzE8afXVAjpmnKgTxJ7L3A/1y2eJJO/oy1VFSJ1kiJNSvjdnRkwvCN0gjJDyp3xEru8CMhaWGRldyQS4xiCWPY3fsdnnaLFl+zPHYWZjL11MMo5hK5se6d0QukPTVai8jnNdXvb5maqSLt/O42dKMVFYDrarMIj0aLHERc2MVyLMZTMeS5K7hEFevwHfjrDuqi6+9fn81XtPWA00v3bxU52RSYguU7mOlPp/t8w4meyLeHBN6PE3TuNZUosV1CiDT8Gzr7C4MDcRKtyXZzy8xiJuqsqROxC3x1RyACbZbGWm2G8K9xRXXq7EOboisNHSazfKSbhBmcTyiO92b0cTigCrJMIMMyrwlJlXHpOkYewEbcVxtKgHGQOpU997tUDgVt3UWN0c3E5GguWYxqH7Vwa60oVTnullr9QGhV1581ZWB4FAS2jFJ4q+DCtLSmy1Txu7sqD1HgCwa5bh5cCR3as+Ie4NyqhvikUrmHRW7YzivgdHLBfYSmJi16vGo2f62ltLdrIFDxCAW1Br08vpYoFt/YAsPv+R+fc2VU90uqRxdx1V9aoQ+oJ3KOhxYYOK3fQ2iC+YCQM5vNLg/3Pqbb8fVvjidV3zfLWtkmJ8K0A+LZiMw5pyNL+yOuprhSj8ZttPcYotS2E0k+Ufhgq0H+EghHn7MZF7hWXWY6XNmdRvM9LTAL8Av5Muo1UCGspwNrL+HWwHYdjg3irk532PEURxEeH/IHZDnguAkY/X9vO1FNpB9A2GycybQwGnOe5sS3GLTmx3kiWOOZRzco5WFic/lh1YR1RWf3HMNvVOTg6ZJo40FCHErcNKik6SJm3w95aNi61+2xiahZVmXPFc8xgFIu3NEXkhqLD941QM+PdCyMM7pBTFzKzLyTKO3OoZyDdZ380BZtn57NjbiGCfwLmAmCpJmmR9YQKZSIxATAwxZBcYVkJE5wffCmKlv2fIModYthRQBkOHDI615awkEW3At7FbyWsOPdnNgYb0uZuZlcW3DDddF692RKPp7Li2KnrXxbKNiNcksJbHTGzURWXrLo3G/EQBbq6Rcx9xGmrWzvcI5tNqB7BftdNCvUGXuIwBkQT7sW6e0xw2+W5YQvmXVdQAS7c2ckW8iIYLIZcTIHDVB3iolPbnhWRCk2FqcbskmSQT+MXcladelRuAg0RPExSmQD7Iem0jXbl7mIkz1cPFsgaSrcM7a5Fs/G+IgRbrrJN6crmuI6ngoVU8QEea77sThiznCr9qLIPTbLFqY5UJUQU5do/ni+YTMAh7nVCmM3sPCYy3SaYzVF1glek+nbS6Zcc2Nx0CL1dOJ04sxh9q6IMq9PZ322ew8NpAavzM2j9PNto5icsLJg89/RH2aeFGKcbqogQA03Gz6DNPYuSfQiK6QY1mpzIryzucicWgQX25nVpBI60Y5qzu7p7nDbaanyEm0TiCnDzSDrwJHS2biAQB826OLYFoPtRY3mrwKtcHRLLiP9HMrgmBxPNPXNPm5w1mMfyklTI3d9QqTk/yiH7WsmFfohu463Kggqd7E5EkuPCXQSnzHQgTIYNxCoyIlyF0Uwn0hW2XdRpQ8aVcv4tX5OlDyDeuXIIDnw3Y/MDB2osMEWcrMKXdOA+i06dxMdtGY59FpZJ7PoWmzAAZqZ0ulq7Og5hBma5mOHLrWOOKIzZ23Xc0OBUMUK9dT0CpM9ABq21De+Z2gdUJwwrxjSxbBfvCG+pRDApqQ8JVru3LdbWVvIftOClpQFaYJ+vneDTe7a3H2edn3jGKwBePszI47NKPdfjHDRdsvZ83+5GPIpUUdJtXP0cLeMNEa6CynrGvUa9axVW4qVeJ4FCfa2XL2+0MazURTV0V4CaxgJwUmup/BSHfWWn2Btrrt5P21oCCEU8btThVQVXRoF7weSaaonVmzwu0dPS8yKtZ7uZOaLZGiCnEMvCQL4fWOvpi7Da2zUXrpe5/ewFeWGVYi269HPzKzN+Nx7jAkKyEkUEkQXVunPtPVfHA8Lcg8iesEEVe3jrMrzc2a2pggdF+hkrHE+JpaFCvDzpbRgB9FJpwrq+ZGn1DKCwPI2e2uRq7qm8S/RDFzUEJ0X2LNqT0rw97OeTUwTVTCxI01ZOm2KK9xJMoBjqv7HZKlym6WVtfWm+elkkBsMYP7q+rMKOY8OHl7TQhdq72gbq/CupnpvQMdW2jfZdplYLOSEjedJs40V6SOGsB3ohxwS+h6qeciIjPmJRwwdnIDYUkAIkh0R6j7+WXqh8E4p7GZVR0aNdMajAsOYjBFZzTg+jZTP5TPIshj1oXj5mr7WM4haCxnNMbisBEeaxHF7YVVeBKTrB09HfbHBzx4j4K7w37O/kH12Th5MMYPp+ntbr+dHxZ/cf3/cHvjRjalgxnK6xMp++mBWp9PZ0JoCAYylofZDAQtG0h0IQV2OntWeQOJswSRuJRaIiBQkswcPqwtCOQaJ6exkISoeiQ5xAiklUpHoMMp8bZcuwVtQUGGstvCG0/KyWWIIFoeC2ukhnpRQZSrKzaa5OeQ3zjNAZZRP2/oarnIdRB3mUN93u1IYlVQIRW5u7g/ImsOgjwIQg4WMhvnlk5unVtI4S1vuA1BCkJ2i5WBj+PfKDaresiMiLxL60Uhn/lkuRisvLkFJtYS3LWXg70cscKNFEKzopXDXGnzVAQ5E14yh71U79GoO6bQUJPFnpW3KbfeBUp9s6gDGtseSexjTN3NdNNMLJgcVkjaoVBidPPSaDIzZUyLlUWRy1aOYEUlvvIjaUbfJOXQRqdFuVvflnXs3lBlkK2dHej+poz8NTOLjUg/yiTatRbDJ7KFoCW3U68nDORHZJSaqXAUl1Yn6IwuKUrP+NHaDjNAbtYEVY2uUz/bFXEKVGR3+mlBr0XmtqLwq4BaAgjlWZAP+QG1vfC4QArXs53qaUnmXEZXIIZcc51rYPsqWs0PB59zvdJOAWygruKrltVDwaaKmwvPnulxLsD38Bkp9duN4SjbuDmQkdt4qgSCNs8gc966jXmua58QM7bpKg2Q6ioJ/qYdVDRyeVaoLzJvjPMaMIPwhInHeyHlzrGybqLZkoNB+NMXtLq04Vl6aufNkc9XtF0Uq/g45g4r++YVaqqRDY9wVdqmp0KkqOxQ8m2n9ggUDlu72ZpUOdgk7hX9dr9xxjXEqTULyctl6m9XON6A2DhpxvRmWvsscR4LcKnJ6kx+rNFmlD3gligGRq4fp263KYip3YJUbxw79bf17jDGtRYN7dTLtKbsv099B3apixAEYQ0EpeN/LjLYz3QvMmfM1xTeDdASateyXHZF4XBy8OFmtk9l1cce+NGGbhX88yccx/LuXz4FXngJqn/+hJKgS/7L/0173r7Zm/Jbe94cJyvccSfI4wvDjw0h096In9kI8uUH211+e7PbP159FVjptNvjA0beb6f50xkpH5tWfoMZ/C9h5jrtlnnFyx+6be21mv97b1u7nM/DN9vW7oUfb1sjyD9925qPWChOIhT+Ztvam1Liw1Lyw9KXDxK/I/xm25jmWWVdeC97zN7V93aP2/OOrY8ff/dlYrHI6vw7j777NjEXW2V5N+tJm+92sd23r1mvv9Q9blyz7tu+XC8PnfEzw/a0zbMEvWQ84RQ8Wo4fMn7uRfd9a/+VEP2tHn4Dop+UM53E/BvtfCOeLz/Q52+C0IuaP91rvm+k/QNq/7mtxpPV/KEV/9w24nc2+A9z8Eci7ptm/LdG3ATHjW8Qdyr8GHFJ/C9AXAzDUNeF3yHuq1Liw1Lyw9LXiPuG8Pe/1/6urh99K/4dA28enVvFx8/9xMHR+b/NrRLYczZtpwVw6NSgH4DLxwZbIM4yS//pvhm+HIMLYPP3vfTPu+ftcXvtm+Oly8e+4jdfk/+/AIDfq+U3ANj4XU22Xn0j4csPVPybSPSdakcw+m7Vrz9g8Z3Kfw5//5HKx63VP6r55wD4H6j5T4XeVw347w29QtZx30DvvfBj6KXgPxF6//7rX4IAvhWXbyDgR7YBGlvHIymgbJjCR3jPH0r9/GI5yE+aDu5QIOfzENp6ZzpWBUIM9PeajOf9cn8R3K/zOLPGagxQ919jRb9+951dbSfh3VOAt+KkBD7FDy/3RkVVe/J21w1CvSP4tsFjBYB8WQIPk0zu6HEfPVlYOArEyXLvhfDddK9cpVzuB8eMTqx7fstdb9jLgD+99dUqk2p66bZAanNcxjGKsPSKVwRDaimxuYXX68e9l9IEK9B6tC0gv/RraiWjMpSsDECZbyVh3D8VHsM4Dq1k1JCXWOEonCt4rn0UAxj5306WOFZZfUm9Cjw1fqwmyUeb+hsIGcqqdkHrXxgOFcwglxt8w4BnC+9WhwD0vkZe/2zWz4V5kTlVVjxujOJ8OijqfYcPjXPWfNzhQYT5/3eHxz/u8NhPdngUdTwXRmD7/4UOD8SUOdaTBeXWxQvd7i60cjKndy243wVKu31kbLenu6PGn+gAQ348ezd0tcJuy19ev/gLQjEwTRA4TGP0qJtvHv/8E7DxHQD4cW8rX0Dtmxp/gHE/xKnfDznfQbZfR/7yPCuqJ+06VcfWVTBqapQGYPsuKtCrr31LBLQVdGXcto3fpzDcX5zQycJrejd3r3g09NmWgEGvi6wJ3ZEl0Icf5rh/VfzrCD2W2z91BgtUDoQ55syjyU2FU5ue0edty17Qh6YZmsQYCqOId+jDkDiG0QSwghf0Af2h+hpbdTp2o9fPYEAx92KADvVoDAg6mXD8gIoxe6+Lx0VZFWF+Bw6Q5VRZMnL6gC+AMUn51XIcL79zCI++yXkQfWpHRJP16adx/ne5jh+YF7g1CnUSKKsq863Nnsn5mDqHI8sVqOc56Sm80b4BJk6JzzQIN8HwiyV+BYH2mAe/Mce/fxcu9uWk/K9Z/nzv7aN35Hht6W/1/2TvH+mfwb6jfwZ/5X2AXoC52mEcjk7kPz6PHeRrlX0tc88bbWJygKAF46f6mrdV4DByvzHx/Qo4/uOzXYfxyGd5P8Fs1Gw6/vj6nvwk3MfN3AItfakyTIFZ1ZMf/obiCKhV+PGNsS95H730XJMP7D5wrMItJxbuybsVAxsGr/3tPz4/zGgH6vaCbORqfNW9ezBQHlRVXv4zBFl5+OXxmteMrnV8/gswVuhNKdQg7wpAZgY8+Qi3b4wM0Jvikc902Weu/UuvVD7/i8/MbRKj99t8n4yMNJMX/9tn9lnmwlgG7r2UyCAWeioVR7f+dKF5bmg9XRxCr336vZugbrr8+69/HzXQALcfpne7S7wqyEZhAqczCtG96+B34UdWXKw0HB5u8LPWC24NMC4rPu1G9w80l90d5t+e3MnYd6qwumMOj9E0+2lRp641tg8YyZjR7vJR28BVe48vm/Fjirue0tmnYe+f8CTfYiqAgHFMMmtfgqDvYMBrbt84gDs6/ACAJgpfQahRvSPzA8DgJmKvXfWrHCC9ZEGgvMOJA5Lkl9sHOIHDGEy/ggMgNhBNTqNbk9buohthHnkou87Bw94TBRpBGJjAfn1Rk3of1/qEfNrU4XAfO5gYy2jEF+jXjAlIbdFiyFDvGGMwhiBIjMDpHzCGPjMGfyFoDPuWOwY0DkMwjCC/5Q79hrta8IX8NXcLf6/hLIv377nDGRK4UASjfkps8BeGRImPuGNIkqQx5APu8Pfc5cLR98Q33F1KtVkeFe1b7igSZ3AC/QF38DN3U4Tyhrcnt/2WJeI9S0VgOyT+miXRbC3nZArv4xGgTBgjaYr5OTuDv1AE/YGxATIIsDcYp19xt5sCfaDPdTFCqeO95/MRvL7i83Vc+oZPEgeJGwNq+WnFIh8pdkRADMHfKPaJT+wbPn/9bfd/93MPtUynF5d3J/WSrL1KrF7lZuNXKj854/TL//r3z5VVRr+MHm9cXPHhjV+Cu9sE9w1QBDowARGfJtLTOozH//8pquifQhX7U6jifwpV4k+hSv4pVKnvUL0PR4/W9yqwRHGCIcdMwKpe8ujnCZFH9xtT20cKNn5DVNqO04BWUY1O7FNglZ/AC2UWh2Nvcj9ZcTydZltYjRd/8rrcS0tvHK3OivtqjCr7lKXepzYronsEMH2ZFFB9OvB7GuqOw8j7VIKs5FPgxfmne6cfF4NYD1LTV4vzKRsb6fpZkdz74CfLzurqkw6CUHs8NBxkOeX09NjtvXHdSPcJhC/3BSOu1ZdfxgYC0U09dGrz2OhHQLka/zyLgLujD2BjOubXL7Lk3l6vAwHByODTt5ULK714n+boP+so+jT5/u+fjUkswiSW8t8/vxbEKrujzJ3XImtBx/sf9w/VhkU5FTxmA/7nQ+z3aY5R+6DeeyuKegrFnlvxqhnGnd9RuRYI0h+MfX4zGfBkB5/vgyEJ8CJAIeBy+7opYXmfhhgt4D7lOwlirP31ENMTXTUrJ+c1XQpWkY4GOFYWZO1Xv/BAYP/83pRF/P0NUz+m8+s/PbV1/tJUzoqdOr6b42Pm8Fv1OS/PPARpVZMiQTz6UNdzy97Ldf5KrjzIfvtPbOMVQFijdKxPk6ilSTGvRIx+X8TG88HRbuZNEn6oChjNmyqAybye5Xqo/3fKH/2R/F9EOn9vPmHqxPXY3zAK+4LDFPF6TuDHrbtjT3EHBOdxFLYfAlnfKSFvDs/+p0826MDO3a3+zoYhP9cw7vsNQ/EvKE1QCD79/wc0cKTI/MUN5H+gOeYLhf4Rehvp/CXNegsIrge6xZjNff7XOv63f43DfxPS8YP303Hr904xtvyDftOGIBuup25+qx8hG/A7AIC/fBoJGS8kADejG3qGiftL1qOXO9n9I9qv1gpUgFp89zXTzTGrHcvTOhmd0B24+1e1uHfWrBfUeIVHdv8JOOxwWvv4TPux5OYdwd8E2hebeGXzu9GBClPi/cq37Sa/+oREoMZ///z0FBDfeGBA6QB8HBm7T2p8hI3cK2wELmMNXMZI13N/zteMwmmsuJ7W1j470ZHM0yqk8k7u02OyPO7/WNfTJfG9IXGEJNXnf8gVve58d91ts/ZFyqzrjj7i6cbT8lY7qyoQS7x2PXcremuBky2U+Rh7jaY3hROPTpgAjxGMFJ5iH1DueCAg01HsI1Xx7DtGy3uUAayxCctwGnx79l1ffkNp77zXKOMXju+Ef6eL+vJDTb0Ie/5xI57wbrfXRpHcb/2u9rzQejrg5F0TH1U8gOdujJPpTi88KvzjmvxbMMh7sfcEVHWV/XLxUgAvY1f5FgonO7pHr3cLWaMYQG/PGUdzP4XVU5SXeFYKertfx78HaYQXjQBjD0eUBZU9RWWP9VQPXX3QNR5Y+vAz3+AuUGaQVV5cfs/sPzJ14Tum/mQl7EHYsqLwSX8i/vNo9Z81lKfG3eu9N/G/PJZe/NEKnEqe1OfH486R8llcP6PAxW8ocOzm+jPpv057H7bsv1yB4ouwFmE8RkfkmPJS96DhRV2Pe89HAgGV3XE7SwFYvEqcW2/cWzGlzeU4lXGncz9O5CNdiew31e+86hP3ymH/rHamJHui8cCk0qv+LN//85J+NcfxLqV/1TjsWzqjmA9eMc2qP6++WN2Dus9v1mC8qfCF0nqKvyamimycCfw6jYhMI55xdqeDzlFsXH3xPPY4rgGZKrvPfrxUNP0inn+R41RGWScgLJ4mF60yep4PmlaBXLyvHkAFQGhcHncfOvk6yjWdnnCyPPTcr6NfmdY4ZkAyX5MwrauxcgyUjIMeLyUI8oV8XsjjPtEeV7+AX19tD/Qz7+vzQhnq/aNf75M3D5nc6xrJ21kWfW3CLH4amH1MCI0u7Ws5ziu5JaBdtR544U2jEPgxf/v1o2l70PXHoa7HopC1gUxjzqB0eC59EKLHVS232ksdb1IAgMMxsK+t+Kmuv/19HC1eG+j3qZA/TwX7Q6jg36cyTgj+LBniB2TgnyXzvnN9lyT6Vtif10Ci93tAZWvs5beMvrpYvr7Q31xgr99/ufMxq2Nt92omKtMbE5Gpkqnevz+vDPj6vUUwb/sOQNQc4Ny4MOxrFSavJisQBoWZ12t0vn67MGgEqWn5z/cmUZ8E9jWZFnI9ocJdJU/A8OqCfKxTvHeyKrt4wHMUj7nOCVme3vrl8cIvL0Dz3R41UhtHMO/tnUi/aiuCUzQ8tjXwrKKyPeuOO9NKA2vk/U6SAg9hNmb/QhAe8QtOMfAvluW7v+AeeN93LI90Ry08A8PDO6EwSn4aHVD5pYvL7vNjaui5qmeBoxSNYvgo0R+q75n+xBRJMhjNEL9YvmeNrDi/MD5M/MIwPkJRju2i3mggv6GjH6n4VY3PbnQsGdHw1998d1zRkCTAoQCL82Pr8tzr3k2xPU8UPKYGvgZWOa7gIxncc2wbgR3fQyyMgHGH8VHXx2Gb8GELJhEXcVGasWGKoWCPdsAdl8JoiiQQ2MWcafFADJj9wyiOGnpx7P/x8H/PC4KmsOHp8slPT1dTTDT9BjxF5fNKUiCRkTkUcHCf0LRdirBoCvNgDFxavmN7GILbOOPCJOr7NuEgqI3QgJlf/w+/pO1ij6UJAA==</properties>
</file>

<file path=customXml/itemProps1.xml><?xml version="1.0" encoding="utf-8"?>
<ds:datastoreItem xmlns:ds="http://schemas.openxmlformats.org/officeDocument/2006/customXml" ds:itemID="{454B1A11-5CC0-41B4-844D-D92D2608FAA2}">
  <ds:schemaRefs>
    <ds:schemaRef ds:uri="http://schemas.myeducator.com/properties/myeducator/atlas_meta_I9HPn2dmEoxC"/>
  </ds:schemaRefs>
</ds:datastoreItem>
</file>

<file path=customXml/itemProps2.xml><?xml version="1.0" encoding="utf-8"?>
<ds:datastoreItem xmlns:ds="http://schemas.openxmlformats.org/officeDocument/2006/customXml" ds:itemID="{0030F64F-55DB-420B-9C2B-62E601FBBF5E}">
  <ds:schemaRefs>
    <ds:schemaRef ds:uri="http://schemas.myeducator.com/properties/myeducator/atlas_meta_I9HPn2diq4hv"/>
  </ds:schemaRefs>
</ds:datastoreItem>
</file>

<file path=customXml/itemProps3.xml><?xml version="1.0" encoding="utf-8"?>
<ds:datastoreItem xmlns:ds="http://schemas.openxmlformats.org/officeDocument/2006/customXml" ds:itemID="{AD69D7FA-C068-4A2F-8A71-7B2B6186A621}">
  <ds:schemaRefs>
    <ds:schemaRef ds:uri="http://schemas.myeducator.com/properties/myeducator/atlas_meta_I9HPn2diTZov"/>
  </ds:schemaRefs>
</ds:datastoreItem>
</file>

<file path=customXml/itemProps4.xml><?xml version="1.0" encoding="utf-8"?>
<ds:datastoreItem xmlns:ds="http://schemas.openxmlformats.org/officeDocument/2006/customXml" ds:itemID="{8E08D254-6045-445C-BD63-EA57BCE3AAFB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E3BD60B4-DAF0-4A77-953A-C5430CFCB6C3}">
  <ds:schemaRefs>
    <ds:schemaRef ds:uri="http://schemas.myeducator.com/properties/myeducator/atlas_meta"/>
  </ds:schemaRefs>
</ds:datastoreItem>
</file>

<file path=customXml/itemProps6.xml><?xml version="1.0" encoding="utf-8"?>
<ds:datastoreItem xmlns:ds="http://schemas.openxmlformats.org/officeDocument/2006/customXml" ds:itemID="{0338F818-DEF4-481E-B0AA-DCAFABCA1F15}">
  <ds:schemaRefs>
    <ds:schemaRef ds:uri="http://schemas.myeducator.com/symphony/msoffice/properties/officeprops"/>
  </ds:schemaRefs>
</ds:datastoreItem>
</file>

<file path=customXml/itemProps7.xml><?xml version="1.0" encoding="utf-8"?>
<ds:datastoreItem xmlns:ds="http://schemas.openxmlformats.org/officeDocument/2006/customXml" ds:itemID="{6959095F-D0F6-45E5-A8A5-5578742440BD}">
  <ds:schemaRefs>
    <ds:schemaRef ds:uri="http://schemas.myeducator.com/symphony/msoffice/properties/submission"/>
  </ds:schemaRefs>
</ds:datastoreItem>
</file>

<file path=customXml/itemProps8.xml><?xml version="1.0" encoding="utf-8"?>
<ds:datastoreItem xmlns:ds="http://schemas.openxmlformats.org/officeDocument/2006/customXml" ds:itemID="{4CEA6F42-0778-471B-B11D-53FEA89EED3C}">
  <ds:schemaRefs>
    <ds:schemaRef ds:uri="http://schemas.myeducator.com/properties/myeducator/atlas_debug_log"/>
  </ds:schemaRefs>
</ds:datastoreItem>
</file>

<file path=customXml/itemProps9.xml><?xml version="1.0" encoding="utf-8"?>
<ds:datastoreItem xmlns:ds="http://schemas.openxmlformats.org/officeDocument/2006/customXml" ds:itemID="{A691DA76-B26C-4062-A95B-69A9246668FC}">
  <ds:schemaRefs>
    <ds:schemaRef ds:uri="http://schemas.myeducator.com/properties/myeducator/atlas_integrity"/>
  </ds:schemaRefs>
</ds:datastoreItem>
</file>

<file path=customXml/itemProps10.xml><?xml version="1.0" encoding="utf-8"?>
<ds:datastoreItem xmlns:ds="http://schemas.openxmlformats.org/officeDocument/2006/customXml" ds:itemID="{8C693DEC-4AF9-40FB-8D70-529E009AFEF7}">
  <ds:schemaRefs>
    <ds:schemaRef ds:uri="http://schemas.myeducator.com/properties/myeducator/atlas_log_comm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QB_Stats</vt:lpstr>
      <vt:lpstr>Sheet1</vt:lpstr>
      <vt:lpstr>Data</vt:lpstr>
      <vt:lpstr>PT1</vt:lpstr>
      <vt:lpstr>PT2</vt:lpstr>
      <vt:lpstr>PT3</vt:lpstr>
      <vt:lpstr>PT4</vt:lpstr>
      <vt:lpstr>PT5</vt:lpstr>
      <vt:lpstr>Charts</vt:lpstr>
      <vt:lpstr>Line Chart</vt:lpstr>
      <vt:lpstr>Travel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Williams</dc:creator>
  <cp:lastModifiedBy>Josh Williams</cp:lastModifiedBy>
  <dcterms:created xsi:type="dcterms:W3CDTF">2026-09-14T15:32:51Z</dcterms:created>
  <dcterms:modified xsi:type="dcterms:W3CDTF">2026-10-01T11:51:13Z</dcterms:modified>
</cp:coreProperties>
</file>